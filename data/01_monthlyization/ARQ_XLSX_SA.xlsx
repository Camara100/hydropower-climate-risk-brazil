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4d43f62665f155/IDP/Dissertação Mestrado/Base de Dados/"/>
    </mc:Choice>
  </mc:AlternateContent>
  <xr:revisionPtr revIDLastSave="25" documentId="8_{5A7ED809-683E-4C89-88F3-47501194C7FC}" xr6:coauthVersionLast="47" xr6:coauthVersionMax="47" xr10:uidLastSave="{8B5514F4-2561-4A68-8992-D33C9218AC2C}"/>
  <bookViews>
    <workbookView xWindow="-108" yWindow="-108" windowWidth="23256" windowHeight="12456" activeTab="2" xr2:uid="{FC7553D0-F349-42D2-9AB7-3729C579D1D6}"/>
  </bookViews>
  <sheets>
    <sheet name="Receita_TRI" sheetId="1" r:id="rId1"/>
    <sheet name="Energia_MES" sheetId="2" r:id="rId2"/>
    <sheet name="Planilh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4" i="3"/>
  <c r="G36" i="1"/>
  <c r="G35" i="1"/>
  <c r="G29" i="1"/>
  <c r="G28" i="1"/>
  <c r="G26" i="1"/>
  <c r="G25" i="1"/>
  <c r="G23" i="1"/>
  <c r="G22" i="1"/>
  <c r="G21" i="1"/>
  <c r="G19" i="1"/>
  <c r="G18" i="1"/>
  <c r="G17" i="1"/>
  <c r="G20" i="1" s="1"/>
  <c r="G15" i="1"/>
  <c r="G14" i="1"/>
  <c r="G13" i="1"/>
  <c r="G11" i="1"/>
  <c r="G10" i="1"/>
  <c r="G9" i="1"/>
  <c r="G12" i="1" s="1"/>
  <c r="G7" i="1"/>
  <c r="G8" i="1" s="1"/>
  <c r="G6" i="1"/>
  <c r="G5" i="1"/>
  <c r="G3" i="1"/>
  <c r="G2" i="1"/>
  <c r="E34" i="1"/>
  <c r="E35" i="1" s="1"/>
  <c r="E36" i="1" s="1"/>
  <c r="E30" i="1"/>
  <c r="E27" i="1"/>
  <c r="E26" i="1"/>
  <c r="E28" i="1" s="1"/>
  <c r="E22" i="1"/>
  <c r="E23" i="1" s="1"/>
  <c r="E24" i="1" s="1"/>
  <c r="E19" i="1"/>
  <c r="E20" i="1" s="1"/>
  <c r="E18" i="1"/>
  <c r="E14" i="1"/>
  <c r="E12" i="1"/>
  <c r="E6" i="1"/>
  <c r="E8" i="1" s="1"/>
  <c r="E4" i="1"/>
  <c r="E3" i="1"/>
  <c r="E32" i="1" l="1"/>
  <c r="E15" i="1"/>
  <c r="E16" i="1" s="1"/>
  <c r="E31" i="1"/>
  <c r="B96" i="2" l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84" i="2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72" i="2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60" i="2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48" i="2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36" i="2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25" i="2"/>
  <c r="B26" i="2"/>
  <c r="B27" i="2"/>
  <c r="B28" i="2"/>
  <c r="B29" i="2"/>
  <c r="B30" i="2" s="1"/>
  <c r="B31" i="2" s="1"/>
  <c r="B32" i="2" s="1"/>
  <c r="B33" i="2" s="1"/>
  <c r="B34" i="2" s="1"/>
  <c r="B24" i="2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3" i="2"/>
  <c r="B4" i="2" s="1"/>
  <c r="B5" i="2" s="1"/>
  <c r="B6" i="2" s="1"/>
  <c r="B7" i="2" s="1"/>
  <c r="B8" i="2" s="1"/>
  <c r="B9" i="2" s="1"/>
  <c r="B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 CAMARA</author>
  </authors>
  <commentList>
    <comment ref="E1" authorId="0" shapeId="0" xr:uid="{669145E8-FB63-4826-901A-83C5F3FF811F}">
      <text>
        <r>
          <rPr>
            <b/>
            <sz val="9"/>
            <color indexed="81"/>
            <rFont val="Segoe UI"/>
            <family val="2"/>
          </rPr>
          <t>CLAUDIO CAMARA:</t>
        </r>
        <r>
          <rPr>
            <sz val="9"/>
            <color indexed="81"/>
            <rFont val="Segoe UI"/>
            <family val="2"/>
          </rPr>
          <t xml:space="preserve">
Receita líquida de impostos e taxas.</t>
        </r>
      </text>
    </comment>
  </commentList>
</comments>
</file>

<file path=xl/sharedStrings.xml><?xml version="1.0" encoding="utf-8"?>
<sst xmlns="http://schemas.openxmlformats.org/spreadsheetml/2006/main" count="334" uniqueCount="13">
  <si>
    <t>Ano</t>
  </si>
  <si>
    <t>Trim</t>
  </si>
  <si>
    <t>Usina</t>
  </si>
  <si>
    <t>Mes</t>
  </si>
  <si>
    <t>Serie</t>
  </si>
  <si>
    <t>Receita_Vendas</t>
  </si>
  <si>
    <t>Valor</t>
  </si>
  <si>
    <t>Energia_Base_MWh</t>
  </si>
  <si>
    <t>Energia Comprada Revenda</t>
  </si>
  <si>
    <t>SA</t>
  </si>
  <si>
    <t>Data</t>
  </si>
  <si>
    <t>Valor_RV</t>
  </si>
  <si>
    <t>Energia_Base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</si>
</sst>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14" fontId="4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681E-997D-4AD8-8ED9-72CC440DCBAD}">
  <dimension ref="A1:G37"/>
  <sheetViews>
    <sheetView workbookViewId="0">
      <selection activeCell="G2" sqref="G2:G37"/>
    </sheetView>
  </sheetViews>
  <sheetFormatPr defaultRowHeight="14.4" x14ac:dyDescent="0.3"/>
  <cols>
    <col min="1" max="1" width="6.77734375" bestFit="1" customWidth="1"/>
    <col min="2" max="3" width="6.77734375" customWidth="1"/>
    <col min="4" max="4" width="14" bestFit="1" customWidth="1"/>
    <col min="5" max="5" width="15" bestFit="1" customWidth="1"/>
    <col min="6" max="6" width="23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s="1" t="s">
        <v>6</v>
      </c>
      <c r="F1" t="s">
        <v>4</v>
      </c>
      <c r="G1" t="s">
        <v>6</v>
      </c>
    </row>
    <row r="2" spans="1:7" x14ac:dyDescent="0.3">
      <c r="A2" s="2">
        <v>2016</v>
      </c>
      <c r="B2" s="2">
        <v>2</v>
      </c>
      <c r="C2" s="2" t="s">
        <v>9</v>
      </c>
      <c r="D2" s="2" t="s">
        <v>5</v>
      </c>
      <c r="E2" s="3">
        <v>667410</v>
      </c>
      <c r="F2" t="s">
        <v>8</v>
      </c>
      <c r="G2" s="3">
        <f>161872-26679</f>
        <v>135193</v>
      </c>
    </row>
    <row r="3" spans="1:7" x14ac:dyDescent="0.3">
      <c r="A3" s="2">
        <v>2016</v>
      </c>
      <c r="B3" s="2">
        <v>3</v>
      </c>
      <c r="C3" s="2" t="s">
        <v>9</v>
      </c>
      <c r="D3" s="2" t="s">
        <v>5</v>
      </c>
      <c r="E3" s="3">
        <f>2037788-1330408</f>
        <v>707380</v>
      </c>
      <c r="F3" t="s">
        <v>8</v>
      </c>
      <c r="G3" s="3">
        <f>-84578-33568</f>
        <v>-118146</v>
      </c>
    </row>
    <row r="4" spans="1:7" x14ac:dyDescent="0.3">
      <c r="A4" s="2">
        <v>2016</v>
      </c>
      <c r="B4" s="2">
        <v>4</v>
      </c>
      <c r="C4" s="2" t="s">
        <v>9</v>
      </c>
      <c r="D4" s="2" t="s">
        <v>5</v>
      </c>
      <c r="E4" s="3">
        <f>2802554-662998-E2-E3</f>
        <v>764766</v>
      </c>
      <c r="F4" t="s">
        <v>8</v>
      </c>
      <c r="G4" s="3">
        <v>-172524</v>
      </c>
    </row>
    <row r="5" spans="1:7" x14ac:dyDescent="0.3">
      <c r="A5" s="2">
        <v>2017</v>
      </c>
      <c r="B5" s="2">
        <v>1</v>
      </c>
      <c r="C5" s="2" t="s">
        <v>9</v>
      </c>
      <c r="D5" s="2" t="s">
        <v>5</v>
      </c>
      <c r="E5" s="1">
        <v>736396</v>
      </c>
      <c r="F5" t="s">
        <v>8</v>
      </c>
      <c r="G5" s="1">
        <f>-75102-35402</f>
        <v>-110504</v>
      </c>
    </row>
    <row r="6" spans="1:7" x14ac:dyDescent="0.3">
      <c r="A6" s="2">
        <v>2017</v>
      </c>
      <c r="B6" s="2">
        <v>2</v>
      </c>
      <c r="C6" s="2" t="s">
        <v>9</v>
      </c>
      <c r="D6" s="2" t="s">
        <v>5</v>
      </c>
      <c r="E6" s="1">
        <f>1507582-E5</f>
        <v>771186</v>
      </c>
      <c r="F6" t="s">
        <v>8</v>
      </c>
      <c r="G6" s="1">
        <f>-74691-91179</f>
        <v>-165870</v>
      </c>
    </row>
    <row r="7" spans="1:7" x14ac:dyDescent="0.3">
      <c r="A7" s="2">
        <v>2017</v>
      </c>
      <c r="B7" s="2">
        <v>3</v>
      </c>
      <c r="C7" s="2" t="s">
        <v>9</v>
      </c>
      <c r="D7" s="2" t="s">
        <v>5</v>
      </c>
      <c r="E7" s="1">
        <v>726786</v>
      </c>
      <c r="F7" t="s">
        <v>8</v>
      </c>
      <c r="G7" s="5">
        <f>-92293-145630</f>
        <v>-237923</v>
      </c>
    </row>
    <row r="8" spans="1:7" x14ac:dyDescent="0.3">
      <c r="A8" s="2">
        <v>2017</v>
      </c>
      <c r="B8" s="2">
        <v>4</v>
      </c>
      <c r="C8" s="2" t="s">
        <v>9</v>
      </c>
      <c r="D8" s="2" t="s">
        <v>5</v>
      </c>
      <c r="E8" s="1">
        <f>2971019-E5-E6-E7</f>
        <v>736651</v>
      </c>
      <c r="F8" t="s">
        <v>8</v>
      </c>
      <c r="G8" s="1">
        <f>-214769-360928-(G7+G6+G5)</f>
        <v>-61400</v>
      </c>
    </row>
    <row r="9" spans="1:7" x14ac:dyDescent="0.3">
      <c r="A9" s="2">
        <v>2018</v>
      </c>
      <c r="B9" s="2">
        <v>1</v>
      </c>
      <c r="C9" s="2" t="s">
        <v>9</v>
      </c>
      <c r="D9" s="2" t="s">
        <v>5</v>
      </c>
      <c r="E9" s="1">
        <v>776677</v>
      </c>
      <c r="F9" t="s">
        <v>8</v>
      </c>
      <c r="G9" s="1">
        <f>-10713-88978</f>
        <v>-99691</v>
      </c>
    </row>
    <row r="10" spans="1:7" x14ac:dyDescent="0.3">
      <c r="A10" s="2">
        <v>2018</v>
      </c>
      <c r="B10" s="2">
        <v>2</v>
      </c>
      <c r="C10" s="2" t="s">
        <v>9</v>
      </c>
      <c r="D10" s="2" t="s">
        <v>5</v>
      </c>
      <c r="E10" s="1">
        <v>742822</v>
      </c>
      <c r="F10" t="s">
        <v>8</v>
      </c>
      <c r="G10">
        <f>-45710-91378</f>
        <v>-137088</v>
      </c>
    </row>
    <row r="11" spans="1:7" x14ac:dyDescent="0.3">
      <c r="A11" s="2">
        <v>2018</v>
      </c>
      <c r="B11" s="2">
        <v>3</v>
      </c>
      <c r="C11" s="2" t="s">
        <v>9</v>
      </c>
      <c r="D11" s="2" t="s">
        <v>5</v>
      </c>
      <c r="E11" s="1">
        <v>751353</v>
      </c>
      <c r="F11" t="s">
        <v>8</v>
      </c>
      <c r="G11" s="1">
        <f>-74210-99827</f>
        <v>-174037</v>
      </c>
    </row>
    <row r="12" spans="1:7" x14ac:dyDescent="0.3">
      <c r="A12" s="2">
        <v>2018</v>
      </c>
      <c r="B12" s="2">
        <v>4</v>
      </c>
      <c r="C12" s="2" t="s">
        <v>9</v>
      </c>
      <c r="D12" s="2" t="s">
        <v>5</v>
      </c>
      <c r="E12" s="1">
        <f>3005553-E9-E10-E11</f>
        <v>734701</v>
      </c>
      <c r="F12" t="s">
        <v>8</v>
      </c>
      <c r="G12" s="1">
        <f>(-153607-378371)-(G9+G10+G11)</f>
        <v>-121162</v>
      </c>
    </row>
    <row r="13" spans="1:7" x14ac:dyDescent="0.3">
      <c r="A13" s="2">
        <v>2019</v>
      </c>
      <c r="B13" s="2">
        <v>1</v>
      </c>
      <c r="C13" s="2" t="s">
        <v>9</v>
      </c>
      <c r="D13" s="2" t="s">
        <v>5</v>
      </c>
      <c r="E13" s="1">
        <v>744679</v>
      </c>
      <c r="F13" t="s">
        <v>8</v>
      </c>
      <c r="G13" s="1">
        <f>198636-83152</f>
        <v>115484</v>
      </c>
    </row>
    <row r="14" spans="1:7" x14ac:dyDescent="0.3">
      <c r="A14" s="2">
        <v>2019</v>
      </c>
      <c r="B14" s="2">
        <v>2</v>
      </c>
      <c r="C14" s="2" t="s">
        <v>9</v>
      </c>
      <c r="D14" s="2" t="s">
        <v>5</v>
      </c>
      <c r="E14" s="1">
        <f>1516857-E13</f>
        <v>772178</v>
      </c>
      <c r="F14" t="s">
        <v>8</v>
      </c>
      <c r="G14" s="1">
        <f>45159-114649</f>
        <v>-69490</v>
      </c>
    </row>
    <row r="15" spans="1:7" x14ac:dyDescent="0.3">
      <c r="A15" s="2">
        <v>2019</v>
      </c>
      <c r="B15" s="2">
        <v>3</v>
      </c>
      <c r="C15" s="2" t="s">
        <v>9</v>
      </c>
      <c r="D15" s="2" t="s">
        <v>5</v>
      </c>
      <c r="E15" s="1">
        <f>2360783-E13-E14</f>
        <v>843926</v>
      </c>
      <c r="F15" t="s">
        <v>8</v>
      </c>
      <c r="G15" s="1">
        <f>19451-328740</f>
        <v>-309289</v>
      </c>
    </row>
    <row r="16" spans="1:7" x14ac:dyDescent="0.3">
      <c r="A16" s="2">
        <v>2019</v>
      </c>
      <c r="B16" s="2">
        <v>4</v>
      </c>
      <c r="C16" s="2" t="s">
        <v>9</v>
      </c>
      <c r="D16" s="2" t="s">
        <v>5</v>
      </c>
      <c r="E16" s="1">
        <f>3197523-E13-E14-E15</f>
        <v>836740</v>
      </c>
      <c r="F16" t="s">
        <v>8</v>
      </c>
      <c r="G16" s="5">
        <v>871675</v>
      </c>
    </row>
    <row r="17" spans="1:7" x14ac:dyDescent="0.3">
      <c r="A17" s="2">
        <v>2020</v>
      </c>
      <c r="B17" s="2">
        <v>1</v>
      </c>
      <c r="C17" s="2" t="s">
        <v>9</v>
      </c>
      <c r="D17" s="2" t="s">
        <v>5</v>
      </c>
      <c r="E17" s="1">
        <v>775543</v>
      </c>
      <c r="F17" t="s">
        <v>8</v>
      </c>
      <c r="G17" s="1">
        <f>31447-120127</f>
        <v>-88680</v>
      </c>
    </row>
    <row r="18" spans="1:7" x14ac:dyDescent="0.3">
      <c r="A18" s="2">
        <v>2020</v>
      </c>
      <c r="B18" s="2">
        <v>2</v>
      </c>
      <c r="C18" s="2" t="s">
        <v>9</v>
      </c>
      <c r="D18" s="2" t="s">
        <v>5</v>
      </c>
      <c r="E18" s="1">
        <f>1533927-E17</f>
        <v>758384</v>
      </c>
      <c r="F18" t="s">
        <v>8</v>
      </c>
      <c r="G18" s="1">
        <f>29449-121664</f>
        <v>-92215</v>
      </c>
    </row>
    <row r="19" spans="1:7" x14ac:dyDescent="0.3">
      <c r="A19" s="2">
        <v>2020</v>
      </c>
      <c r="B19" s="2">
        <v>3</v>
      </c>
      <c r="C19" s="2" t="s">
        <v>9</v>
      </c>
      <c r="D19" s="2" t="s">
        <v>5</v>
      </c>
      <c r="E19" s="1">
        <f>2368560-E17-E18</f>
        <v>834633</v>
      </c>
      <c r="F19" t="s">
        <v>8</v>
      </c>
      <c r="G19" s="1">
        <f>-27085-172858</f>
        <v>-199943</v>
      </c>
    </row>
    <row r="20" spans="1:7" x14ac:dyDescent="0.3">
      <c r="A20" s="2">
        <v>2020</v>
      </c>
      <c r="B20" s="2">
        <v>4</v>
      </c>
      <c r="C20" s="2" t="s">
        <v>9</v>
      </c>
      <c r="D20" s="2" t="s">
        <v>5</v>
      </c>
      <c r="E20" s="1">
        <f>3200238-E17-E18-E19</f>
        <v>831678</v>
      </c>
      <c r="F20" t="s">
        <v>8</v>
      </c>
      <c r="G20" s="1">
        <f>-(33334+609034+G17+G18+G19)</f>
        <v>-261530</v>
      </c>
    </row>
    <row r="21" spans="1:7" x14ac:dyDescent="0.3">
      <c r="A21" s="2">
        <v>2021</v>
      </c>
      <c r="B21" s="2">
        <v>1</v>
      </c>
      <c r="C21" s="2" t="s">
        <v>9</v>
      </c>
      <c r="D21" s="2" t="s">
        <v>5</v>
      </c>
      <c r="E21" s="1">
        <v>922937</v>
      </c>
      <c r="F21" t="s">
        <v>8</v>
      </c>
      <c r="G21" s="1">
        <f>9460-161818</f>
        <v>-152358</v>
      </c>
    </row>
    <row r="22" spans="1:7" x14ac:dyDescent="0.3">
      <c r="A22" s="2">
        <v>2021</v>
      </c>
      <c r="B22" s="2">
        <v>2</v>
      </c>
      <c r="C22" s="2" t="s">
        <v>9</v>
      </c>
      <c r="D22" s="2" t="s">
        <v>5</v>
      </c>
      <c r="E22" s="1">
        <f>1765659-E21</f>
        <v>842722</v>
      </c>
      <c r="F22" t="s">
        <v>8</v>
      </c>
      <c r="G22" s="1">
        <f>-15983-153643</f>
        <v>-169626</v>
      </c>
    </row>
    <row r="23" spans="1:7" x14ac:dyDescent="0.3">
      <c r="A23" s="2">
        <v>2021</v>
      </c>
      <c r="B23" s="2">
        <v>3</v>
      </c>
      <c r="C23" s="2" t="s">
        <v>9</v>
      </c>
      <c r="D23" s="2" t="s">
        <v>5</v>
      </c>
      <c r="E23" s="1">
        <f>2782475-E21-E22</f>
        <v>1016816</v>
      </c>
      <c r="F23" t="s">
        <v>8</v>
      </c>
      <c r="G23" s="1">
        <f>-415345-187254</f>
        <v>-602599</v>
      </c>
    </row>
    <row r="24" spans="1:7" x14ac:dyDescent="0.3">
      <c r="A24" s="2">
        <v>2021</v>
      </c>
      <c r="B24" s="2">
        <v>4</v>
      </c>
      <c r="C24" s="2" t="s">
        <v>9</v>
      </c>
      <c r="D24" s="2" t="s">
        <v>5</v>
      </c>
      <c r="E24" s="1">
        <f>3757969-E21-E22-E23</f>
        <v>975494</v>
      </c>
      <c r="F24" t="s">
        <v>8</v>
      </c>
      <c r="G24" s="1">
        <v>-224386</v>
      </c>
    </row>
    <row r="25" spans="1:7" x14ac:dyDescent="0.3">
      <c r="A25" s="2">
        <v>2022</v>
      </c>
      <c r="B25" s="2">
        <v>1</v>
      </c>
      <c r="C25" s="2" t="s">
        <v>9</v>
      </c>
      <c r="D25" s="2" t="s">
        <v>5</v>
      </c>
      <c r="E25" s="1">
        <v>924068</v>
      </c>
      <c r="F25" t="s">
        <v>8</v>
      </c>
      <c r="G25" s="1">
        <f>20105-183270</f>
        <v>-163165</v>
      </c>
    </row>
    <row r="26" spans="1:7" x14ac:dyDescent="0.3">
      <c r="A26" s="2">
        <v>2022</v>
      </c>
      <c r="B26" s="2">
        <v>2</v>
      </c>
      <c r="C26" s="2" t="s">
        <v>9</v>
      </c>
      <c r="D26" s="2" t="s">
        <v>5</v>
      </c>
      <c r="E26" s="1">
        <f>1886962-E25</f>
        <v>962894</v>
      </c>
      <c r="F26" t="s">
        <v>8</v>
      </c>
      <c r="G26" s="1">
        <f>31714-188865</f>
        <v>-157151</v>
      </c>
    </row>
    <row r="27" spans="1:7" x14ac:dyDescent="0.3">
      <c r="A27" s="2">
        <v>2022</v>
      </c>
      <c r="B27" s="2">
        <v>3</v>
      </c>
      <c r="C27" s="2" t="s">
        <v>9</v>
      </c>
      <c r="D27" s="2" t="s">
        <v>5</v>
      </c>
      <c r="E27" s="1">
        <f>3005691-E25-E26</f>
        <v>1118729</v>
      </c>
      <c r="F27" t="s">
        <v>8</v>
      </c>
      <c r="G27" s="1">
        <v>-291874</v>
      </c>
    </row>
    <row r="28" spans="1:7" x14ac:dyDescent="0.3">
      <c r="A28" s="2">
        <v>2022</v>
      </c>
      <c r="B28" s="2">
        <v>4</v>
      </c>
      <c r="C28" s="2" t="s">
        <v>9</v>
      </c>
      <c r="D28" s="2" t="s">
        <v>5</v>
      </c>
      <c r="E28" s="1">
        <f>4137130-E25-E26-E27</f>
        <v>1131439</v>
      </c>
      <c r="F28" t="s">
        <v>8</v>
      </c>
      <c r="G28" s="1">
        <f>-(933398+G25+G26+G27)</f>
        <v>-321208</v>
      </c>
    </row>
    <row r="29" spans="1:7" x14ac:dyDescent="0.3">
      <c r="A29" s="2">
        <v>2023</v>
      </c>
      <c r="B29" s="2">
        <v>1</v>
      </c>
      <c r="C29" s="2" t="s">
        <v>9</v>
      </c>
      <c r="D29" s="2" t="s">
        <v>5</v>
      </c>
      <c r="E29" s="1">
        <v>1016481</v>
      </c>
      <c r="F29" t="s">
        <v>8</v>
      </c>
      <c r="G29" s="1">
        <f>-175093</f>
        <v>-175093</v>
      </c>
    </row>
    <row r="30" spans="1:7" x14ac:dyDescent="0.3">
      <c r="A30" s="2">
        <v>2023</v>
      </c>
      <c r="B30" s="2">
        <v>2</v>
      </c>
      <c r="C30" s="2" t="s">
        <v>9</v>
      </c>
      <c r="D30" s="2" t="s">
        <v>5</v>
      </c>
      <c r="E30" s="1">
        <f>1996496-E29</f>
        <v>980015</v>
      </c>
      <c r="F30" t="s">
        <v>8</v>
      </c>
      <c r="G30" s="1">
        <v>-154859</v>
      </c>
    </row>
    <row r="31" spans="1:7" x14ac:dyDescent="0.3">
      <c r="A31" s="2">
        <v>2023</v>
      </c>
      <c r="B31" s="2">
        <v>3</v>
      </c>
      <c r="C31" s="2" t="s">
        <v>9</v>
      </c>
      <c r="D31" s="2" t="s">
        <v>5</v>
      </c>
      <c r="E31" s="1">
        <f>3146487-E29-E30</f>
        <v>1149991</v>
      </c>
      <c r="F31" t="s">
        <v>8</v>
      </c>
      <c r="G31" s="1">
        <v>-291858</v>
      </c>
    </row>
    <row r="32" spans="1:7" x14ac:dyDescent="0.3">
      <c r="A32" s="2">
        <v>2023</v>
      </c>
      <c r="B32" s="2">
        <v>4</v>
      </c>
      <c r="C32" s="2" t="s">
        <v>9</v>
      </c>
      <c r="D32" s="2" t="s">
        <v>5</v>
      </c>
      <c r="E32" s="1">
        <f>4363248-E29-E30-E31</f>
        <v>1216761</v>
      </c>
      <c r="F32" t="s">
        <v>8</v>
      </c>
      <c r="G32" s="1">
        <v>-312157</v>
      </c>
    </row>
    <row r="33" spans="1:7" x14ac:dyDescent="0.3">
      <c r="A33" s="2">
        <v>2024</v>
      </c>
      <c r="B33" s="2">
        <v>1</v>
      </c>
      <c r="C33" s="2" t="s">
        <v>9</v>
      </c>
      <c r="D33" s="2" t="s">
        <v>5</v>
      </c>
      <c r="E33" s="1">
        <v>1033204</v>
      </c>
      <c r="F33" t="s">
        <v>8</v>
      </c>
      <c r="G33" s="1">
        <v>-175029</v>
      </c>
    </row>
    <row r="34" spans="1:7" x14ac:dyDescent="0.3">
      <c r="A34" s="2">
        <v>2024</v>
      </c>
      <c r="B34" s="2">
        <v>2</v>
      </c>
      <c r="C34" s="2" t="s">
        <v>9</v>
      </c>
      <c r="D34" s="2" t="s">
        <v>5</v>
      </c>
      <c r="E34" s="1">
        <f>2080609-E33</f>
        <v>1047405</v>
      </c>
      <c r="F34" t="s">
        <v>8</v>
      </c>
      <c r="G34" s="1">
        <v>-189774</v>
      </c>
    </row>
    <row r="35" spans="1:7" x14ac:dyDescent="0.3">
      <c r="A35" s="2">
        <v>2024</v>
      </c>
      <c r="B35" s="2">
        <v>3</v>
      </c>
      <c r="C35" s="2" t="s">
        <v>9</v>
      </c>
      <c r="D35" s="2" t="s">
        <v>5</v>
      </c>
      <c r="E35" s="1">
        <f>3359636-E33-E34</f>
        <v>1279027</v>
      </c>
      <c r="F35" t="s">
        <v>8</v>
      </c>
      <c r="G35" s="1">
        <f>-(776456+G33+G34)</f>
        <v>-411653</v>
      </c>
    </row>
    <row r="36" spans="1:7" x14ac:dyDescent="0.3">
      <c r="A36" s="2">
        <v>2024</v>
      </c>
      <c r="B36" s="2">
        <v>4</v>
      </c>
      <c r="C36" s="2" t="s">
        <v>9</v>
      </c>
      <c r="D36" s="2" t="s">
        <v>5</v>
      </c>
      <c r="E36" s="1">
        <f>4698008-E33-E34-E35</f>
        <v>1338372</v>
      </c>
      <c r="F36" t="s">
        <v>8</v>
      </c>
      <c r="G36" s="1">
        <f>-(1272889+G33+G34+G35)</f>
        <v>-496433</v>
      </c>
    </row>
    <row r="37" spans="1:7" x14ac:dyDescent="0.3">
      <c r="A37" s="2">
        <v>2025</v>
      </c>
      <c r="B37" s="2">
        <v>1</v>
      </c>
      <c r="C37" s="2" t="s">
        <v>9</v>
      </c>
      <c r="D37" s="2" t="s">
        <v>5</v>
      </c>
      <c r="E37" s="1">
        <v>1163323</v>
      </c>
      <c r="F37" t="s">
        <v>8</v>
      </c>
      <c r="G37" s="1">
        <v>-259151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62C9-043B-47B7-9A86-55F2350128C6}">
  <dimension ref="A1:D107"/>
  <sheetViews>
    <sheetView workbookViewId="0">
      <selection activeCell="D2" sqref="D2:D107"/>
    </sheetView>
  </sheetViews>
  <sheetFormatPr defaultRowHeight="14.4" x14ac:dyDescent="0.3"/>
  <cols>
    <col min="4" max="4" width="16.77734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7</v>
      </c>
    </row>
    <row r="2" spans="1:4" x14ac:dyDescent="0.3">
      <c r="A2" s="2">
        <v>2016</v>
      </c>
      <c r="B2" s="2">
        <v>4</v>
      </c>
      <c r="C2" s="2" t="s">
        <v>9</v>
      </c>
      <c r="D2" s="4">
        <v>1595</v>
      </c>
    </row>
    <row r="3" spans="1:4" x14ac:dyDescent="0.3">
      <c r="A3" s="2">
        <v>2016</v>
      </c>
      <c r="B3" s="2">
        <f>B2+1</f>
        <v>5</v>
      </c>
      <c r="C3" s="2" t="s">
        <v>9</v>
      </c>
      <c r="D3" s="4">
        <v>1684</v>
      </c>
    </row>
    <row r="4" spans="1:4" x14ac:dyDescent="0.3">
      <c r="A4" s="2">
        <v>2016</v>
      </c>
      <c r="B4" s="2">
        <f t="shared" ref="B4:B10" si="0">B3+1</f>
        <v>6</v>
      </c>
      <c r="C4" s="2" t="s">
        <v>9</v>
      </c>
      <c r="D4" s="4">
        <v>1654</v>
      </c>
    </row>
    <row r="5" spans="1:4" x14ac:dyDescent="0.3">
      <c r="A5" s="2">
        <v>2016</v>
      </c>
      <c r="B5" s="2">
        <f t="shared" si="0"/>
        <v>7</v>
      </c>
      <c r="C5" s="2" t="s">
        <v>9</v>
      </c>
      <c r="D5" s="4">
        <v>1261</v>
      </c>
    </row>
    <row r="6" spans="1:4" x14ac:dyDescent="0.3">
      <c r="A6" s="2">
        <v>2016</v>
      </c>
      <c r="B6" s="2">
        <f t="shared" si="0"/>
        <v>8</v>
      </c>
      <c r="C6" s="2" t="s">
        <v>9</v>
      </c>
      <c r="D6" s="4">
        <v>796</v>
      </c>
    </row>
    <row r="7" spans="1:4" x14ac:dyDescent="0.3">
      <c r="A7" s="2">
        <v>2016</v>
      </c>
      <c r="B7" s="2">
        <f t="shared" si="0"/>
        <v>9</v>
      </c>
      <c r="C7" s="2" t="s">
        <v>9</v>
      </c>
      <c r="D7" s="4">
        <v>718</v>
      </c>
    </row>
    <row r="8" spans="1:4" x14ac:dyDescent="0.3">
      <c r="A8" s="2">
        <v>2016</v>
      </c>
      <c r="B8" s="2">
        <f t="shared" si="0"/>
        <v>10</v>
      </c>
      <c r="C8" s="2" t="s">
        <v>9</v>
      </c>
      <c r="D8" s="4">
        <v>829</v>
      </c>
    </row>
    <row r="9" spans="1:4" x14ac:dyDescent="0.3">
      <c r="A9" s="2">
        <v>2016</v>
      </c>
      <c r="B9" s="2">
        <f t="shared" si="0"/>
        <v>11</v>
      </c>
      <c r="C9" s="2" t="s">
        <v>9</v>
      </c>
      <c r="D9" s="4">
        <v>1182</v>
      </c>
    </row>
    <row r="10" spans="1:4" x14ac:dyDescent="0.3">
      <c r="A10" s="2">
        <v>2016</v>
      </c>
      <c r="B10" s="2">
        <f t="shared" si="0"/>
        <v>12</v>
      </c>
      <c r="C10" s="2" t="s">
        <v>9</v>
      </c>
      <c r="D10" s="4">
        <v>1679</v>
      </c>
    </row>
    <row r="11" spans="1:4" x14ac:dyDescent="0.3">
      <c r="A11" s="2">
        <v>2017</v>
      </c>
      <c r="B11" s="2">
        <v>1</v>
      </c>
      <c r="C11" s="2" t="s">
        <v>9</v>
      </c>
      <c r="D11" s="4">
        <v>2459</v>
      </c>
    </row>
    <row r="12" spans="1:4" x14ac:dyDescent="0.3">
      <c r="A12" s="2">
        <v>2017</v>
      </c>
      <c r="B12" s="2">
        <f>B11+1</f>
        <v>2</v>
      </c>
      <c r="C12" s="2" t="s">
        <v>9</v>
      </c>
      <c r="D12" s="4">
        <v>2541</v>
      </c>
    </row>
    <row r="13" spans="1:4" x14ac:dyDescent="0.3">
      <c r="A13" s="2">
        <v>2017</v>
      </c>
      <c r="B13" s="2">
        <f t="shared" ref="B13:B22" si="1">B12+1</f>
        <v>3</v>
      </c>
      <c r="C13" s="2" t="s">
        <v>9</v>
      </c>
      <c r="D13" s="4">
        <v>1869</v>
      </c>
    </row>
    <row r="14" spans="1:4" x14ac:dyDescent="0.3">
      <c r="A14" s="2">
        <v>2017</v>
      </c>
      <c r="B14" s="2">
        <f t="shared" si="1"/>
        <v>4</v>
      </c>
      <c r="C14" s="2" t="s">
        <v>9</v>
      </c>
      <c r="D14" s="4">
        <v>2100</v>
      </c>
    </row>
    <row r="15" spans="1:4" x14ac:dyDescent="0.3">
      <c r="A15" s="2">
        <v>2017</v>
      </c>
      <c r="B15" s="2">
        <f t="shared" si="1"/>
        <v>5</v>
      </c>
      <c r="C15" s="2" t="s">
        <v>9</v>
      </c>
      <c r="D15" s="4">
        <v>2324</v>
      </c>
    </row>
    <row r="16" spans="1:4" x14ac:dyDescent="0.3">
      <c r="A16" s="2">
        <v>2017</v>
      </c>
      <c r="B16" s="2">
        <f t="shared" si="1"/>
        <v>6</v>
      </c>
      <c r="C16" s="2" t="s">
        <v>9</v>
      </c>
      <c r="D16" s="4">
        <v>2550</v>
      </c>
    </row>
    <row r="17" spans="1:4" x14ac:dyDescent="0.3">
      <c r="A17" s="2">
        <v>2017</v>
      </c>
      <c r="B17" s="2">
        <f t="shared" si="1"/>
        <v>7</v>
      </c>
      <c r="C17" s="2" t="s">
        <v>9</v>
      </c>
      <c r="D17" s="4">
        <v>1906</v>
      </c>
    </row>
    <row r="18" spans="1:4" x14ac:dyDescent="0.3">
      <c r="A18" s="2">
        <v>2017</v>
      </c>
      <c r="B18" s="2">
        <f t="shared" si="1"/>
        <v>8</v>
      </c>
      <c r="C18" s="2" t="s">
        <v>9</v>
      </c>
      <c r="D18" s="4">
        <v>1190</v>
      </c>
    </row>
    <row r="19" spans="1:4" x14ac:dyDescent="0.3">
      <c r="A19" s="2">
        <v>2017</v>
      </c>
      <c r="B19" s="2">
        <f t="shared" si="1"/>
        <v>9</v>
      </c>
      <c r="C19" s="2" t="s">
        <v>9</v>
      </c>
      <c r="D19" s="4">
        <v>1061</v>
      </c>
    </row>
    <row r="20" spans="1:4" x14ac:dyDescent="0.3">
      <c r="A20" s="2">
        <v>2017</v>
      </c>
      <c r="B20" s="2">
        <f t="shared" si="1"/>
        <v>10</v>
      </c>
      <c r="C20" s="2" t="s">
        <v>9</v>
      </c>
      <c r="D20" s="4">
        <v>908</v>
      </c>
    </row>
    <row r="21" spans="1:4" x14ac:dyDescent="0.3">
      <c r="A21" s="2">
        <v>2017</v>
      </c>
      <c r="B21" s="2">
        <f t="shared" si="1"/>
        <v>11</v>
      </c>
      <c r="C21" s="2" t="s">
        <v>9</v>
      </c>
      <c r="D21" s="4">
        <v>1718</v>
      </c>
    </row>
    <row r="22" spans="1:4" x14ac:dyDescent="0.3">
      <c r="A22" s="2">
        <v>2017</v>
      </c>
      <c r="B22" s="2">
        <f t="shared" si="1"/>
        <v>12</v>
      </c>
      <c r="C22" s="2" t="s">
        <v>9</v>
      </c>
      <c r="D22" s="4">
        <v>2560</v>
      </c>
    </row>
    <row r="23" spans="1:4" x14ac:dyDescent="0.3">
      <c r="A23" s="2">
        <v>2018</v>
      </c>
      <c r="B23" s="2">
        <v>1</v>
      </c>
      <c r="C23" s="2" t="s">
        <v>9</v>
      </c>
      <c r="D23" s="4">
        <v>2542</v>
      </c>
    </row>
    <row r="24" spans="1:4" x14ac:dyDescent="0.3">
      <c r="A24" s="2">
        <v>2018</v>
      </c>
      <c r="B24" s="2">
        <f>B23+1</f>
        <v>2</v>
      </c>
      <c r="C24" s="2" t="s">
        <v>9</v>
      </c>
      <c r="D24" s="4">
        <v>2285</v>
      </c>
    </row>
    <row r="25" spans="1:4" x14ac:dyDescent="0.3">
      <c r="A25" s="2">
        <v>2018</v>
      </c>
      <c r="B25" s="2">
        <f t="shared" ref="B25:B34" si="2">B24+1</f>
        <v>3</v>
      </c>
      <c r="C25" s="2" t="s">
        <v>9</v>
      </c>
      <c r="D25" s="4">
        <v>2066</v>
      </c>
    </row>
    <row r="26" spans="1:4" x14ac:dyDescent="0.3">
      <c r="A26" s="2">
        <v>2018</v>
      </c>
      <c r="B26" s="2">
        <f t="shared" si="2"/>
        <v>4</v>
      </c>
      <c r="C26" s="2" t="s">
        <v>9</v>
      </c>
      <c r="D26" s="4">
        <v>2083</v>
      </c>
    </row>
    <row r="27" spans="1:4" x14ac:dyDescent="0.3">
      <c r="A27" s="2">
        <v>2018</v>
      </c>
      <c r="B27" s="2">
        <f t="shared" si="2"/>
        <v>5</v>
      </c>
      <c r="C27" s="2" t="s">
        <v>9</v>
      </c>
      <c r="D27" s="4">
        <v>2364</v>
      </c>
    </row>
    <row r="28" spans="1:4" x14ac:dyDescent="0.3">
      <c r="A28" s="2">
        <v>2018</v>
      </c>
      <c r="B28" s="2">
        <f t="shared" si="2"/>
        <v>6</v>
      </c>
      <c r="C28" s="2" t="s">
        <v>9</v>
      </c>
      <c r="D28" s="4">
        <v>2497</v>
      </c>
    </row>
    <row r="29" spans="1:4" x14ac:dyDescent="0.3">
      <c r="A29" s="2">
        <v>2018</v>
      </c>
      <c r="B29" s="2">
        <f t="shared" si="2"/>
        <v>7</v>
      </c>
      <c r="C29" s="2" t="s">
        <v>9</v>
      </c>
      <c r="D29" s="4">
        <v>1845</v>
      </c>
    </row>
    <row r="30" spans="1:4" x14ac:dyDescent="0.3">
      <c r="A30" s="2">
        <v>2018</v>
      </c>
      <c r="B30" s="2">
        <f t="shared" si="2"/>
        <v>8</v>
      </c>
      <c r="C30" s="2" t="s">
        <v>9</v>
      </c>
      <c r="D30" s="4">
        <v>1327</v>
      </c>
    </row>
    <row r="31" spans="1:4" x14ac:dyDescent="0.3">
      <c r="A31" s="2">
        <v>2018</v>
      </c>
      <c r="B31" s="2">
        <f t="shared" si="2"/>
        <v>9</v>
      </c>
      <c r="C31" s="2" t="s">
        <v>9</v>
      </c>
      <c r="D31" s="4">
        <v>1023</v>
      </c>
    </row>
    <row r="32" spans="1:4" x14ac:dyDescent="0.3">
      <c r="A32" s="2">
        <v>2018</v>
      </c>
      <c r="B32" s="2">
        <f t="shared" si="2"/>
        <v>10</v>
      </c>
      <c r="C32" s="2" t="s">
        <v>9</v>
      </c>
      <c r="D32" s="4">
        <v>1161</v>
      </c>
    </row>
    <row r="33" spans="1:4" x14ac:dyDescent="0.3">
      <c r="A33" s="2">
        <v>2018</v>
      </c>
      <c r="B33" s="2">
        <f t="shared" si="2"/>
        <v>11</v>
      </c>
      <c r="C33" s="2" t="s">
        <v>9</v>
      </c>
      <c r="D33" s="4">
        <v>1906</v>
      </c>
    </row>
    <row r="34" spans="1:4" x14ac:dyDescent="0.3">
      <c r="A34" s="2">
        <v>2018</v>
      </c>
      <c r="B34" s="2">
        <f t="shared" si="2"/>
        <v>12</v>
      </c>
      <c r="C34" s="2" t="s">
        <v>9</v>
      </c>
      <c r="D34" s="4">
        <v>2790</v>
      </c>
    </row>
    <row r="35" spans="1:4" x14ac:dyDescent="0.3">
      <c r="A35" s="2">
        <v>2019</v>
      </c>
      <c r="B35" s="2">
        <v>1</v>
      </c>
      <c r="C35" s="2" t="s">
        <v>9</v>
      </c>
      <c r="D35" s="4">
        <v>2385</v>
      </c>
    </row>
    <row r="36" spans="1:4" x14ac:dyDescent="0.3">
      <c r="A36" s="2">
        <v>2019</v>
      </c>
      <c r="B36" s="2">
        <f>B35+1</f>
        <v>2</v>
      </c>
      <c r="C36" s="2" t="s">
        <v>9</v>
      </c>
      <c r="D36" s="4">
        <v>2159</v>
      </c>
    </row>
    <row r="37" spans="1:4" x14ac:dyDescent="0.3">
      <c r="A37" s="2">
        <v>2019</v>
      </c>
      <c r="B37" s="2">
        <f>B36+1</f>
        <v>3</v>
      </c>
      <c r="C37" s="2" t="s">
        <v>9</v>
      </c>
      <c r="D37" s="4">
        <v>1667</v>
      </c>
    </row>
    <row r="38" spans="1:4" x14ac:dyDescent="0.3">
      <c r="A38" s="2">
        <v>2019</v>
      </c>
      <c r="B38" s="2">
        <f t="shared" ref="B38:B46" si="3">B37+1</f>
        <v>4</v>
      </c>
      <c r="C38" s="2" t="s">
        <v>9</v>
      </c>
      <c r="D38" s="4">
        <v>2229</v>
      </c>
    </row>
    <row r="39" spans="1:4" x14ac:dyDescent="0.3">
      <c r="A39" s="2">
        <v>2019</v>
      </c>
      <c r="B39" s="2">
        <f t="shared" si="3"/>
        <v>5</v>
      </c>
      <c r="C39" s="2" t="s">
        <v>9</v>
      </c>
      <c r="D39" s="4">
        <v>2825</v>
      </c>
    </row>
    <row r="40" spans="1:4" x14ac:dyDescent="0.3">
      <c r="A40" s="2">
        <v>2019</v>
      </c>
      <c r="B40" s="2">
        <f t="shared" si="3"/>
        <v>6</v>
      </c>
      <c r="C40" s="2" t="s">
        <v>9</v>
      </c>
      <c r="D40" s="4">
        <v>2712</v>
      </c>
    </row>
    <row r="41" spans="1:4" x14ac:dyDescent="0.3">
      <c r="A41" s="2">
        <v>2019</v>
      </c>
      <c r="B41" s="2">
        <f t="shared" si="3"/>
        <v>7</v>
      </c>
      <c r="C41" s="2" t="s">
        <v>9</v>
      </c>
      <c r="D41" s="4">
        <v>2021</v>
      </c>
    </row>
    <row r="42" spans="1:4" x14ac:dyDescent="0.3">
      <c r="A42" s="2">
        <v>2019</v>
      </c>
      <c r="B42" s="2">
        <f t="shared" si="3"/>
        <v>8</v>
      </c>
      <c r="C42" s="2" t="s">
        <v>9</v>
      </c>
      <c r="D42" s="4">
        <v>1262</v>
      </c>
    </row>
    <row r="43" spans="1:4" x14ac:dyDescent="0.3">
      <c r="A43" s="2">
        <v>2019</v>
      </c>
      <c r="B43" s="2">
        <f t="shared" si="3"/>
        <v>9</v>
      </c>
      <c r="C43" s="2" t="s">
        <v>9</v>
      </c>
      <c r="D43" s="4">
        <v>804</v>
      </c>
    </row>
    <row r="44" spans="1:4" x14ac:dyDescent="0.3">
      <c r="A44" s="2">
        <v>2019</v>
      </c>
      <c r="B44" s="2">
        <f t="shared" si="3"/>
        <v>10</v>
      </c>
      <c r="C44" s="2" t="s">
        <v>9</v>
      </c>
      <c r="D44" s="4">
        <v>1106</v>
      </c>
    </row>
    <row r="45" spans="1:4" x14ac:dyDescent="0.3">
      <c r="A45" s="2">
        <v>2019</v>
      </c>
      <c r="B45" s="2">
        <f t="shared" si="3"/>
        <v>11</v>
      </c>
      <c r="C45" s="2" t="s">
        <v>9</v>
      </c>
      <c r="D45" s="4">
        <v>1581</v>
      </c>
    </row>
    <row r="46" spans="1:4" x14ac:dyDescent="0.3">
      <c r="A46" s="2">
        <v>2019</v>
      </c>
      <c r="B46" s="2">
        <f t="shared" si="3"/>
        <v>12</v>
      </c>
      <c r="C46" s="2" t="s">
        <v>9</v>
      </c>
      <c r="D46" s="4">
        <v>2552</v>
      </c>
    </row>
    <row r="47" spans="1:4" x14ac:dyDescent="0.3">
      <c r="A47" s="2">
        <v>2020</v>
      </c>
      <c r="B47" s="2">
        <v>1</v>
      </c>
      <c r="C47" s="2" t="s">
        <v>9</v>
      </c>
      <c r="D47" s="4">
        <v>2999</v>
      </c>
    </row>
    <row r="48" spans="1:4" x14ac:dyDescent="0.3">
      <c r="A48" s="2">
        <v>2020</v>
      </c>
      <c r="B48" s="2">
        <f>B47+1</f>
        <v>2</v>
      </c>
      <c r="C48" s="2" t="s">
        <v>9</v>
      </c>
      <c r="D48" s="4">
        <v>2888</v>
      </c>
    </row>
    <row r="49" spans="1:4" x14ac:dyDescent="0.3">
      <c r="A49" s="2">
        <v>2020</v>
      </c>
      <c r="B49" s="2">
        <f t="shared" ref="B49:B58" si="4">B48+1</f>
        <v>3</v>
      </c>
      <c r="C49" s="2" t="s">
        <v>9</v>
      </c>
      <c r="D49" s="4">
        <v>2875</v>
      </c>
    </row>
    <row r="50" spans="1:4" x14ac:dyDescent="0.3">
      <c r="A50" s="2">
        <v>2020</v>
      </c>
      <c r="B50" s="2">
        <f t="shared" si="4"/>
        <v>4</v>
      </c>
      <c r="C50" s="2" t="s">
        <v>9</v>
      </c>
      <c r="D50" s="4">
        <v>2825</v>
      </c>
    </row>
    <row r="51" spans="1:4" x14ac:dyDescent="0.3">
      <c r="A51" s="2">
        <v>2020</v>
      </c>
      <c r="B51" s="2">
        <f t="shared" si="4"/>
        <v>5</v>
      </c>
      <c r="C51" s="2" t="s">
        <v>9</v>
      </c>
      <c r="D51" s="4">
        <v>2701</v>
      </c>
    </row>
    <row r="52" spans="1:4" x14ac:dyDescent="0.3">
      <c r="A52" s="2">
        <v>2020</v>
      </c>
      <c r="B52" s="2">
        <f t="shared" si="4"/>
        <v>6</v>
      </c>
      <c r="C52" s="2" t="s">
        <v>9</v>
      </c>
      <c r="D52" s="4">
        <v>2153</v>
      </c>
    </row>
    <row r="53" spans="1:4" x14ac:dyDescent="0.3">
      <c r="A53" s="2">
        <v>2020</v>
      </c>
      <c r="B53" s="2">
        <f t="shared" si="4"/>
        <v>7</v>
      </c>
      <c r="C53" s="2" t="s">
        <v>9</v>
      </c>
      <c r="D53" s="4">
        <v>1862</v>
      </c>
    </row>
    <row r="54" spans="1:4" x14ac:dyDescent="0.3">
      <c r="A54" s="2">
        <v>2020</v>
      </c>
      <c r="B54" s="2">
        <f t="shared" si="4"/>
        <v>8</v>
      </c>
      <c r="C54" s="2" t="s">
        <v>9</v>
      </c>
      <c r="D54" s="4">
        <v>1201</v>
      </c>
    </row>
    <row r="55" spans="1:4" x14ac:dyDescent="0.3">
      <c r="A55" s="2">
        <v>2020</v>
      </c>
      <c r="B55" s="2">
        <f t="shared" si="4"/>
        <v>9</v>
      </c>
      <c r="C55" s="2" t="s">
        <v>9</v>
      </c>
      <c r="D55" s="4">
        <v>1050</v>
      </c>
    </row>
    <row r="56" spans="1:4" x14ac:dyDescent="0.3">
      <c r="A56" s="2">
        <v>2020</v>
      </c>
      <c r="B56" s="2">
        <f t="shared" si="4"/>
        <v>10</v>
      </c>
      <c r="C56" s="2" t="s">
        <v>9</v>
      </c>
      <c r="D56" s="4">
        <v>724</v>
      </c>
    </row>
    <row r="57" spans="1:4" x14ac:dyDescent="0.3">
      <c r="A57" s="2">
        <v>2020</v>
      </c>
      <c r="B57" s="2">
        <f t="shared" si="4"/>
        <v>11</v>
      </c>
      <c r="C57" s="2" t="s">
        <v>9</v>
      </c>
      <c r="D57" s="4">
        <v>969</v>
      </c>
    </row>
    <row r="58" spans="1:4" x14ac:dyDescent="0.3">
      <c r="A58" s="2">
        <v>2020</v>
      </c>
      <c r="B58" s="2">
        <f t="shared" si="4"/>
        <v>12</v>
      </c>
      <c r="C58" s="2" t="s">
        <v>9</v>
      </c>
      <c r="D58" s="4">
        <v>2005</v>
      </c>
    </row>
    <row r="59" spans="1:4" x14ac:dyDescent="0.3">
      <c r="A59" s="2">
        <v>2021</v>
      </c>
      <c r="B59" s="2">
        <v>1</v>
      </c>
      <c r="C59" s="2" t="s">
        <v>9</v>
      </c>
      <c r="D59" s="4">
        <v>2861</v>
      </c>
    </row>
    <row r="60" spans="1:4" x14ac:dyDescent="0.3">
      <c r="A60" s="2">
        <v>2021</v>
      </c>
      <c r="B60" s="2">
        <f>B59+1</f>
        <v>2</v>
      </c>
      <c r="C60" s="2" t="s">
        <v>9</v>
      </c>
      <c r="D60" s="4">
        <v>2584</v>
      </c>
    </row>
    <row r="61" spans="1:4" x14ac:dyDescent="0.3">
      <c r="A61" s="2">
        <v>2021</v>
      </c>
      <c r="B61" s="2">
        <f t="shared" ref="B61:B70" si="5">B60+1</f>
        <v>3</v>
      </c>
      <c r="C61" s="2" t="s">
        <v>9</v>
      </c>
      <c r="D61" s="4">
        <v>2372</v>
      </c>
    </row>
    <row r="62" spans="1:4" x14ac:dyDescent="0.3">
      <c r="A62" s="2">
        <v>2021</v>
      </c>
      <c r="B62" s="2">
        <f t="shared" si="5"/>
        <v>4</v>
      </c>
      <c r="C62" s="2" t="s">
        <v>9</v>
      </c>
      <c r="D62" s="4">
        <v>2292</v>
      </c>
    </row>
    <row r="63" spans="1:4" x14ac:dyDescent="0.3">
      <c r="A63" s="2">
        <v>2021</v>
      </c>
      <c r="B63" s="2">
        <f t="shared" si="5"/>
        <v>5</v>
      </c>
      <c r="C63" s="2" t="s">
        <v>9</v>
      </c>
      <c r="D63" s="4">
        <v>2887</v>
      </c>
    </row>
    <row r="64" spans="1:4" x14ac:dyDescent="0.3">
      <c r="A64" s="2">
        <v>2021</v>
      </c>
      <c r="B64" s="2">
        <f t="shared" si="5"/>
        <v>6</v>
      </c>
      <c r="C64" s="2" t="s">
        <v>9</v>
      </c>
      <c r="D64" s="4">
        <v>2933</v>
      </c>
    </row>
    <row r="65" spans="1:4" x14ac:dyDescent="0.3">
      <c r="A65" s="2">
        <v>2021</v>
      </c>
      <c r="B65" s="2">
        <f t="shared" si="5"/>
        <v>7</v>
      </c>
      <c r="C65" s="2" t="s">
        <v>9</v>
      </c>
      <c r="D65" s="4">
        <v>2042</v>
      </c>
    </row>
    <row r="66" spans="1:4" x14ac:dyDescent="0.3">
      <c r="A66" s="2">
        <v>2021</v>
      </c>
      <c r="B66" s="2">
        <f t="shared" si="5"/>
        <v>8</v>
      </c>
      <c r="C66" s="2" t="s">
        <v>9</v>
      </c>
      <c r="D66" s="4">
        <v>1038</v>
      </c>
    </row>
    <row r="67" spans="1:4" x14ac:dyDescent="0.3">
      <c r="A67" s="2">
        <v>2021</v>
      </c>
      <c r="B67" s="2">
        <f t="shared" si="5"/>
        <v>9</v>
      </c>
      <c r="C67" s="2" t="s">
        <v>9</v>
      </c>
      <c r="D67" s="4">
        <v>832</v>
      </c>
    </row>
    <row r="68" spans="1:4" x14ac:dyDescent="0.3">
      <c r="A68" s="2">
        <v>2021</v>
      </c>
      <c r="B68" s="2">
        <f t="shared" si="5"/>
        <v>10</v>
      </c>
      <c r="C68" s="2" t="s">
        <v>9</v>
      </c>
      <c r="D68" s="4">
        <v>811</v>
      </c>
    </row>
    <row r="69" spans="1:4" x14ac:dyDescent="0.3">
      <c r="A69" s="2">
        <v>2021</v>
      </c>
      <c r="B69" s="2">
        <f t="shared" si="5"/>
        <v>11</v>
      </c>
      <c r="C69" s="2" t="s">
        <v>9</v>
      </c>
      <c r="D69" s="4">
        <v>1433</v>
      </c>
    </row>
    <row r="70" spans="1:4" x14ac:dyDescent="0.3">
      <c r="A70" s="2">
        <v>2021</v>
      </c>
      <c r="B70" s="2">
        <f t="shared" si="5"/>
        <v>12</v>
      </c>
      <c r="C70" s="2" t="s">
        <v>9</v>
      </c>
      <c r="D70" s="4">
        <v>2794</v>
      </c>
    </row>
    <row r="71" spans="1:4" x14ac:dyDescent="0.3">
      <c r="A71" s="2">
        <v>2022</v>
      </c>
      <c r="B71" s="2">
        <v>1</v>
      </c>
      <c r="C71" s="2" t="s">
        <v>9</v>
      </c>
      <c r="D71" s="4">
        <v>2865</v>
      </c>
    </row>
    <row r="72" spans="1:4" x14ac:dyDescent="0.3">
      <c r="A72" s="2">
        <v>2022</v>
      </c>
      <c r="B72" s="2">
        <f>B71+1</f>
        <v>2</v>
      </c>
      <c r="C72" s="2" t="s">
        <v>9</v>
      </c>
      <c r="D72" s="4">
        <v>3148</v>
      </c>
    </row>
    <row r="73" spans="1:4" x14ac:dyDescent="0.3">
      <c r="A73" s="2">
        <v>2022</v>
      </c>
      <c r="B73" s="2">
        <f t="shared" ref="B73:B82" si="6">B72+1</f>
        <v>3</v>
      </c>
      <c r="C73" s="2" t="s">
        <v>9</v>
      </c>
      <c r="D73" s="4">
        <v>3096</v>
      </c>
    </row>
    <row r="74" spans="1:4" x14ac:dyDescent="0.3">
      <c r="A74" s="2">
        <v>2022</v>
      </c>
      <c r="B74" s="2">
        <f t="shared" si="6"/>
        <v>4</v>
      </c>
      <c r="C74" s="2" t="s">
        <v>9</v>
      </c>
      <c r="D74" s="4">
        <v>2961</v>
      </c>
    </row>
    <row r="75" spans="1:4" x14ac:dyDescent="0.3">
      <c r="A75" s="2">
        <v>2022</v>
      </c>
      <c r="B75" s="2">
        <f t="shared" si="6"/>
        <v>5</v>
      </c>
      <c r="C75" s="2" t="s">
        <v>9</v>
      </c>
      <c r="D75" s="4">
        <v>2571</v>
      </c>
    </row>
    <row r="76" spans="1:4" x14ac:dyDescent="0.3">
      <c r="A76" s="2">
        <v>2022</v>
      </c>
      <c r="B76" s="2">
        <f t="shared" si="6"/>
        <v>6</v>
      </c>
      <c r="C76" s="2" t="s">
        <v>9</v>
      </c>
      <c r="D76" s="4">
        <v>2209</v>
      </c>
    </row>
    <row r="77" spans="1:4" x14ac:dyDescent="0.3">
      <c r="A77" s="2">
        <v>2022</v>
      </c>
      <c r="B77" s="2">
        <f t="shared" si="6"/>
        <v>7</v>
      </c>
      <c r="C77" s="2" t="s">
        <v>9</v>
      </c>
      <c r="D77" s="4">
        <v>1280</v>
      </c>
    </row>
    <row r="78" spans="1:4" x14ac:dyDescent="0.3">
      <c r="A78" s="2">
        <v>2022</v>
      </c>
      <c r="B78" s="2">
        <f t="shared" si="6"/>
        <v>8</v>
      </c>
      <c r="C78" s="2" t="s">
        <v>9</v>
      </c>
      <c r="D78" s="4">
        <v>1193</v>
      </c>
    </row>
    <row r="79" spans="1:4" x14ac:dyDescent="0.3">
      <c r="A79" s="2">
        <v>2022</v>
      </c>
      <c r="B79" s="2">
        <f t="shared" si="6"/>
        <v>9</v>
      </c>
      <c r="C79" s="2" t="s">
        <v>9</v>
      </c>
      <c r="D79" s="4">
        <v>839</v>
      </c>
    </row>
    <row r="80" spans="1:4" x14ac:dyDescent="0.3">
      <c r="A80" s="2">
        <v>2022</v>
      </c>
      <c r="B80" s="2">
        <f t="shared" si="6"/>
        <v>10</v>
      </c>
      <c r="C80" s="2" t="s">
        <v>9</v>
      </c>
      <c r="D80" s="4">
        <v>1065</v>
      </c>
    </row>
    <row r="81" spans="1:4" x14ac:dyDescent="0.3">
      <c r="A81" s="2">
        <v>2022</v>
      </c>
      <c r="B81" s="2">
        <f t="shared" si="6"/>
        <v>11</v>
      </c>
      <c r="C81" s="2" t="s">
        <v>9</v>
      </c>
      <c r="D81" s="4">
        <v>1397</v>
      </c>
    </row>
    <row r="82" spans="1:4" x14ac:dyDescent="0.3">
      <c r="A82" s="2">
        <v>2022</v>
      </c>
      <c r="B82" s="2">
        <f t="shared" si="6"/>
        <v>12</v>
      </c>
      <c r="C82" s="2" t="s">
        <v>9</v>
      </c>
      <c r="D82" s="4">
        <v>1858</v>
      </c>
    </row>
    <row r="83" spans="1:4" x14ac:dyDescent="0.3">
      <c r="A83" s="2">
        <v>2023</v>
      </c>
      <c r="B83" s="2">
        <v>1</v>
      </c>
      <c r="C83" s="2" t="s">
        <v>9</v>
      </c>
      <c r="D83" s="4">
        <v>2179</v>
      </c>
    </row>
    <row r="84" spans="1:4" x14ac:dyDescent="0.3">
      <c r="A84" s="2">
        <v>2023</v>
      </c>
      <c r="B84" s="2">
        <f>B83+1</f>
        <v>2</v>
      </c>
      <c r="C84" s="2" t="s">
        <v>9</v>
      </c>
      <c r="D84" s="4">
        <v>2021</v>
      </c>
    </row>
    <row r="85" spans="1:4" x14ac:dyDescent="0.3">
      <c r="A85" s="2">
        <v>2023</v>
      </c>
      <c r="B85" s="2">
        <f t="shared" ref="B85:B94" si="7">B84+1</f>
        <v>3</v>
      </c>
      <c r="C85" s="2" t="s">
        <v>9</v>
      </c>
      <c r="D85" s="4">
        <v>2263</v>
      </c>
    </row>
    <row r="86" spans="1:4" x14ac:dyDescent="0.3">
      <c r="A86" s="2">
        <v>2023</v>
      </c>
      <c r="B86" s="2">
        <f t="shared" si="7"/>
        <v>4</v>
      </c>
      <c r="C86" s="2" t="s">
        <v>9</v>
      </c>
      <c r="D86" s="4">
        <v>1810</v>
      </c>
    </row>
    <row r="87" spans="1:4" x14ac:dyDescent="0.3">
      <c r="A87" s="2">
        <v>2023</v>
      </c>
      <c r="B87" s="2">
        <f t="shared" si="7"/>
        <v>5</v>
      </c>
      <c r="C87" s="2" t="s">
        <v>9</v>
      </c>
      <c r="D87" s="4">
        <v>1840</v>
      </c>
    </row>
    <row r="88" spans="1:4" x14ac:dyDescent="0.3">
      <c r="A88" s="2">
        <v>2023</v>
      </c>
      <c r="B88" s="2">
        <f t="shared" si="7"/>
        <v>6</v>
      </c>
      <c r="C88" s="2" t="s">
        <v>9</v>
      </c>
      <c r="D88" s="4">
        <v>2349</v>
      </c>
    </row>
    <row r="89" spans="1:4" x14ac:dyDescent="0.3">
      <c r="A89" s="2">
        <v>2023</v>
      </c>
      <c r="B89" s="2">
        <f t="shared" si="7"/>
        <v>7</v>
      </c>
      <c r="C89" s="2" t="s">
        <v>9</v>
      </c>
      <c r="D89" s="4">
        <v>1771</v>
      </c>
    </row>
    <row r="90" spans="1:4" x14ac:dyDescent="0.3">
      <c r="A90" s="2">
        <v>2023</v>
      </c>
      <c r="B90" s="2">
        <f t="shared" si="7"/>
        <v>8</v>
      </c>
      <c r="C90" s="2" t="s">
        <v>9</v>
      </c>
      <c r="D90" s="4">
        <v>1212</v>
      </c>
    </row>
    <row r="91" spans="1:4" x14ac:dyDescent="0.3">
      <c r="A91" s="2">
        <v>2023</v>
      </c>
      <c r="B91" s="2">
        <f t="shared" si="7"/>
        <v>9</v>
      </c>
      <c r="C91" s="2" t="s">
        <v>9</v>
      </c>
      <c r="D91" s="4">
        <v>754</v>
      </c>
    </row>
    <row r="92" spans="1:4" x14ac:dyDescent="0.3">
      <c r="A92" s="2">
        <v>2023</v>
      </c>
      <c r="B92" s="2">
        <f t="shared" si="7"/>
        <v>10</v>
      </c>
      <c r="C92" s="2" t="s">
        <v>9</v>
      </c>
      <c r="D92" s="4">
        <v>273</v>
      </c>
    </row>
    <row r="93" spans="1:4" x14ac:dyDescent="0.3">
      <c r="A93" s="2">
        <v>2023</v>
      </c>
      <c r="B93" s="2">
        <f t="shared" si="7"/>
        <v>11</v>
      </c>
      <c r="C93" s="2" t="s">
        <v>9</v>
      </c>
      <c r="D93" s="4">
        <v>904</v>
      </c>
    </row>
    <row r="94" spans="1:4" x14ac:dyDescent="0.3">
      <c r="A94" s="2">
        <v>2023</v>
      </c>
      <c r="B94" s="2">
        <f t="shared" si="7"/>
        <v>12</v>
      </c>
      <c r="C94" s="2" t="s">
        <v>9</v>
      </c>
      <c r="D94" s="4">
        <v>2069</v>
      </c>
    </row>
    <row r="95" spans="1:4" x14ac:dyDescent="0.3">
      <c r="A95" s="2">
        <v>2024</v>
      </c>
      <c r="B95" s="2">
        <v>1</v>
      </c>
      <c r="C95" s="2" t="s">
        <v>9</v>
      </c>
      <c r="D95" s="4">
        <v>2567</v>
      </c>
    </row>
    <row r="96" spans="1:4" x14ac:dyDescent="0.3">
      <c r="A96" s="2">
        <v>2024</v>
      </c>
      <c r="B96" s="2">
        <f>B95+1</f>
        <v>2</v>
      </c>
      <c r="C96" s="2" t="s">
        <v>9</v>
      </c>
      <c r="D96" s="4">
        <v>2965</v>
      </c>
    </row>
    <row r="97" spans="1:4" x14ac:dyDescent="0.3">
      <c r="A97" s="2">
        <v>2024</v>
      </c>
      <c r="B97" s="2">
        <f t="shared" ref="B97:B106" si="8">B96+1</f>
        <v>3</v>
      </c>
      <c r="C97" s="2" t="s">
        <v>9</v>
      </c>
      <c r="D97" s="4">
        <v>2938</v>
      </c>
    </row>
    <row r="98" spans="1:4" x14ac:dyDescent="0.3">
      <c r="A98" s="2">
        <v>2024</v>
      </c>
      <c r="B98" s="2">
        <f t="shared" si="8"/>
        <v>4</v>
      </c>
      <c r="C98" s="2" t="s">
        <v>9</v>
      </c>
      <c r="D98" s="4">
        <v>2997</v>
      </c>
    </row>
    <row r="99" spans="1:4" x14ac:dyDescent="0.3">
      <c r="A99" s="2">
        <v>2024</v>
      </c>
      <c r="B99" s="2">
        <f t="shared" si="8"/>
        <v>5</v>
      </c>
      <c r="C99" s="2" t="s">
        <v>9</v>
      </c>
      <c r="D99" s="4">
        <v>2611</v>
      </c>
    </row>
    <row r="100" spans="1:4" x14ac:dyDescent="0.3">
      <c r="A100" s="2">
        <v>2024</v>
      </c>
      <c r="B100" s="2">
        <f t="shared" si="8"/>
        <v>6</v>
      </c>
      <c r="C100" s="2" t="s">
        <v>9</v>
      </c>
      <c r="D100" s="4">
        <v>1828</v>
      </c>
    </row>
    <row r="101" spans="1:4" x14ac:dyDescent="0.3">
      <c r="A101" s="2">
        <v>2024</v>
      </c>
      <c r="B101" s="2">
        <f t="shared" si="8"/>
        <v>7</v>
      </c>
      <c r="C101" s="2" t="s">
        <v>9</v>
      </c>
      <c r="D101" s="4">
        <v>1200</v>
      </c>
    </row>
    <row r="102" spans="1:4" x14ac:dyDescent="0.3">
      <c r="A102" s="2">
        <v>2024</v>
      </c>
      <c r="B102" s="2">
        <f t="shared" si="8"/>
        <v>8</v>
      </c>
      <c r="C102" s="2" t="s">
        <v>9</v>
      </c>
      <c r="D102" s="4">
        <v>855</v>
      </c>
    </row>
    <row r="103" spans="1:4" x14ac:dyDescent="0.3">
      <c r="A103" s="2">
        <v>2024</v>
      </c>
      <c r="B103" s="2">
        <f t="shared" si="8"/>
        <v>9</v>
      </c>
      <c r="C103" s="2" t="s">
        <v>9</v>
      </c>
      <c r="D103" s="4">
        <v>371</v>
      </c>
    </row>
    <row r="104" spans="1:4" x14ac:dyDescent="0.3">
      <c r="A104" s="2">
        <v>2024</v>
      </c>
      <c r="B104" s="2">
        <f t="shared" si="8"/>
        <v>10</v>
      </c>
      <c r="C104" s="2" t="s">
        <v>9</v>
      </c>
      <c r="D104" s="4">
        <v>386</v>
      </c>
    </row>
    <row r="105" spans="1:4" x14ac:dyDescent="0.3">
      <c r="A105" s="2">
        <v>2024</v>
      </c>
      <c r="B105" s="2">
        <f t="shared" si="8"/>
        <v>11</v>
      </c>
      <c r="C105" s="2" t="s">
        <v>9</v>
      </c>
      <c r="D105" s="4">
        <v>1016</v>
      </c>
    </row>
    <row r="106" spans="1:4" x14ac:dyDescent="0.3">
      <c r="A106" s="2">
        <v>2024</v>
      </c>
      <c r="B106" s="2">
        <f t="shared" si="8"/>
        <v>12</v>
      </c>
      <c r="C106" s="2" t="s">
        <v>9</v>
      </c>
      <c r="D106" s="4">
        <v>2251</v>
      </c>
    </row>
    <row r="107" spans="1:4" x14ac:dyDescent="0.3">
      <c r="A107" s="2">
        <v>2025</v>
      </c>
      <c r="B107" s="2">
        <v>1</v>
      </c>
      <c r="C107" s="2" t="s">
        <v>9</v>
      </c>
      <c r="D107" s="4">
        <v>2799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E7B7-CA48-4BDC-A2A5-50B362B08D34}">
  <dimension ref="A1:E106"/>
  <sheetViews>
    <sheetView tabSelected="1" workbookViewId="0">
      <selection activeCell="E8" sqref="E8"/>
    </sheetView>
  </sheetViews>
  <sheetFormatPr defaultRowHeight="14.4" x14ac:dyDescent="0.3"/>
  <cols>
    <col min="1" max="1" width="4.77734375" bestFit="1" customWidth="1"/>
    <col min="2" max="2" width="10.5546875" bestFit="1" customWidth="1"/>
    <col min="3" max="3" width="12" bestFit="1" customWidth="1"/>
    <col min="4" max="4" width="11.33203125" bestFit="1" customWidth="1"/>
  </cols>
  <sheetData>
    <row r="1" spans="1:5" x14ac:dyDescent="0.3">
      <c r="A1" t="s">
        <v>10</v>
      </c>
      <c r="B1" t="s">
        <v>2</v>
      </c>
      <c r="C1" t="s">
        <v>11</v>
      </c>
      <c r="D1" t="s">
        <v>12</v>
      </c>
    </row>
    <row r="2" spans="1:5" x14ac:dyDescent="0.3">
      <c r="A2" t="s">
        <v>9</v>
      </c>
      <c r="B2" s="6">
        <v>42461</v>
      </c>
      <c r="C2">
        <v>220597.91003978299</v>
      </c>
      <c r="D2" s="4">
        <v>1595</v>
      </c>
    </row>
    <row r="3" spans="1:5" x14ac:dyDescent="0.3">
      <c r="A3" t="s">
        <v>9</v>
      </c>
      <c r="B3" s="6">
        <v>42491</v>
      </c>
      <c r="C3">
        <v>222001.97750994601</v>
      </c>
      <c r="D3" s="4">
        <v>1684</v>
      </c>
    </row>
    <row r="4" spans="1:5" x14ac:dyDescent="0.3">
      <c r="A4" t="s">
        <v>9</v>
      </c>
      <c r="B4" s="6">
        <v>42522</v>
      </c>
      <c r="C4">
        <v>224810.112450271</v>
      </c>
      <c r="D4" s="4">
        <v>1654</v>
      </c>
      <c r="E4">
        <f>SUM(C2:C4)</f>
        <v>667410</v>
      </c>
    </row>
    <row r="5" spans="1:5" x14ac:dyDescent="0.3">
      <c r="A5" t="s">
        <v>9</v>
      </c>
      <c r="B5" s="6">
        <v>42552</v>
      </c>
      <c r="C5">
        <v>229022.31486076</v>
      </c>
      <c r="D5" s="4">
        <v>1261</v>
      </c>
    </row>
    <row r="6" spans="1:5" x14ac:dyDescent="0.3">
      <c r="A6" t="s">
        <v>9</v>
      </c>
      <c r="B6" s="6">
        <v>42583</v>
      </c>
      <c r="C6">
        <v>235153.62931781201</v>
      </c>
      <c r="D6" s="4">
        <v>796</v>
      </c>
    </row>
    <row r="7" spans="1:5" x14ac:dyDescent="0.3">
      <c r="A7" t="s">
        <v>9</v>
      </c>
      <c r="B7" s="6">
        <v>42614</v>
      </c>
      <c r="C7">
        <v>243204.05582142799</v>
      </c>
      <c r="D7" s="4">
        <v>718</v>
      </c>
      <c r="E7">
        <f>SUM(C5:C7)</f>
        <v>707380</v>
      </c>
    </row>
    <row r="8" spans="1:5" x14ac:dyDescent="0.3">
      <c r="A8" t="s">
        <v>9</v>
      </c>
      <c r="B8" s="6">
        <v>42644</v>
      </c>
      <c r="C8">
        <v>253173.59437160601</v>
      </c>
      <c r="D8" s="4">
        <v>829</v>
      </c>
    </row>
    <row r="9" spans="1:5" x14ac:dyDescent="0.3">
      <c r="A9" t="s">
        <v>9</v>
      </c>
      <c r="B9" s="6">
        <v>42675</v>
      </c>
      <c r="C9">
        <v>256977.28323044599</v>
      </c>
      <c r="D9" s="4">
        <v>1182</v>
      </c>
    </row>
    <row r="10" spans="1:5" x14ac:dyDescent="0.3">
      <c r="A10" t="s">
        <v>9</v>
      </c>
      <c r="B10" s="6">
        <v>42705</v>
      </c>
      <c r="C10">
        <v>254615.12239794701</v>
      </c>
      <c r="D10" s="4">
        <v>1679</v>
      </c>
    </row>
    <row r="11" spans="1:5" x14ac:dyDescent="0.3">
      <c r="A11" t="s">
        <v>9</v>
      </c>
      <c r="B11" s="6">
        <v>42736</v>
      </c>
      <c r="C11">
        <v>246087.11187410899</v>
      </c>
      <c r="D11" s="4">
        <v>2459</v>
      </c>
    </row>
    <row r="12" spans="1:5" x14ac:dyDescent="0.3">
      <c r="A12" t="s">
        <v>9</v>
      </c>
      <c r="B12" s="6">
        <v>42767</v>
      </c>
      <c r="C12">
        <v>243488.77533756799</v>
      </c>
      <c r="D12" s="4">
        <v>2541</v>
      </c>
    </row>
    <row r="13" spans="1:5" x14ac:dyDescent="0.3">
      <c r="A13" t="s">
        <v>9</v>
      </c>
      <c r="B13" s="6">
        <v>42795</v>
      </c>
      <c r="C13">
        <v>246820.11278832299</v>
      </c>
      <c r="D13" s="4">
        <v>1869</v>
      </c>
    </row>
    <row r="14" spans="1:5" x14ac:dyDescent="0.3">
      <c r="A14" t="s">
        <v>9</v>
      </c>
      <c r="B14" s="6">
        <v>42826</v>
      </c>
      <c r="C14">
        <v>256081.124226374</v>
      </c>
      <c r="D14" s="4">
        <v>2100</v>
      </c>
    </row>
    <row r="15" spans="1:5" x14ac:dyDescent="0.3">
      <c r="A15" t="s">
        <v>9</v>
      </c>
      <c r="B15" s="6">
        <v>42856</v>
      </c>
      <c r="C15">
        <v>259132.03391610601</v>
      </c>
      <c r="D15" s="4">
        <v>2324</v>
      </c>
    </row>
    <row r="16" spans="1:5" x14ac:dyDescent="0.3">
      <c r="A16" t="s">
        <v>9</v>
      </c>
      <c r="B16" s="6">
        <v>42887</v>
      </c>
      <c r="C16">
        <v>255972.841857519</v>
      </c>
      <c r="D16" s="4">
        <v>2550</v>
      </c>
    </row>
    <row r="17" spans="1:4" x14ac:dyDescent="0.3">
      <c r="A17" t="s">
        <v>9</v>
      </c>
      <c r="B17" s="6">
        <v>42917</v>
      </c>
      <c r="C17">
        <v>246603.54805061201</v>
      </c>
      <c r="D17" s="4">
        <v>1906</v>
      </c>
    </row>
    <row r="18" spans="1:4" x14ac:dyDescent="0.3">
      <c r="A18" t="s">
        <v>9</v>
      </c>
      <c r="B18" s="6">
        <v>42948</v>
      </c>
      <c r="C18">
        <v>241005.06356092601</v>
      </c>
      <c r="D18" s="4">
        <v>1190</v>
      </c>
    </row>
    <row r="19" spans="1:4" x14ac:dyDescent="0.3">
      <c r="A19" t="s">
        <v>9</v>
      </c>
      <c r="B19" s="6">
        <v>42979</v>
      </c>
      <c r="C19">
        <v>239177.38838846199</v>
      </c>
      <c r="D19" s="4">
        <v>1061</v>
      </c>
    </row>
    <row r="20" spans="1:4" x14ac:dyDescent="0.3">
      <c r="A20" t="s">
        <v>9</v>
      </c>
      <c r="B20" s="6">
        <v>43009</v>
      </c>
      <c r="C20">
        <v>241120.522533218</v>
      </c>
      <c r="D20" s="4">
        <v>908</v>
      </c>
    </row>
    <row r="21" spans="1:4" x14ac:dyDescent="0.3">
      <c r="A21" t="s">
        <v>9</v>
      </c>
      <c r="B21" s="6">
        <v>43040</v>
      </c>
      <c r="C21">
        <v>244928.664169494</v>
      </c>
      <c r="D21" s="4">
        <v>1718</v>
      </c>
    </row>
    <row r="22" spans="1:4" x14ac:dyDescent="0.3">
      <c r="A22" t="s">
        <v>9</v>
      </c>
      <c r="B22" s="6">
        <v>43070</v>
      </c>
      <c r="C22">
        <v>250601.813297288</v>
      </c>
      <c r="D22" s="4">
        <v>2560</v>
      </c>
    </row>
    <row r="23" spans="1:4" x14ac:dyDescent="0.3">
      <c r="A23" t="s">
        <v>9</v>
      </c>
      <c r="B23" s="6">
        <v>43101</v>
      </c>
      <c r="C23">
        <v>258139.969916601</v>
      </c>
      <c r="D23" s="4">
        <v>2542</v>
      </c>
    </row>
    <row r="24" spans="1:4" x14ac:dyDescent="0.3">
      <c r="A24" t="s">
        <v>9</v>
      </c>
      <c r="B24" s="6">
        <v>43132</v>
      </c>
      <c r="C24">
        <v>260588.78163397801</v>
      </c>
      <c r="D24" s="4">
        <v>2285</v>
      </c>
    </row>
    <row r="25" spans="1:4" x14ac:dyDescent="0.3">
      <c r="A25" t="s">
        <v>9</v>
      </c>
      <c r="B25" s="6">
        <v>43160</v>
      </c>
      <c r="C25">
        <v>257948.24844942099</v>
      </c>
      <c r="D25" s="4">
        <v>2066</v>
      </c>
    </row>
    <row r="26" spans="1:4" x14ac:dyDescent="0.3">
      <c r="A26" t="s">
        <v>9</v>
      </c>
      <c r="B26" s="6">
        <v>43191</v>
      </c>
      <c r="C26">
        <v>250218.37036292901</v>
      </c>
      <c r="D26" s="4">
        <v>2083</v>
      </c>
    </row>
    <row r="27" spans="1:4" x14ac:dyDescent="0.3">
      <c r="A27" t="s">
        <v>9</v>
      </c>
      <c r="B27" s="6">
        <v>43221</v>
      </c>
      <c r="C27">
        <v>246327.62306910899</v>
      </c>
      <c r="D27" s="4">
        <v>2364</v>
      </c>
    </row>
    <row r="28" spans="1:4" x14ac:dyDescent="0.3">
      <c r="A28" t="s">
        <v>9</v>
      </c>
      <c r="B28" s="6">
        <v>43252</v>
      </c>
      <c r="C28">
        <v>246276.006567962</v>
      </c>
      <c r="D28" s="4">
        <v>2497</v>
      </c>
    </row>
    <row r="29" spans="1:4" x14ac:dyDescent="0.3">
      <c r="A29" t="s">
        <v>9</v>
      </c>
      <c r="B29" s="6">
        <v>43282</v>
      </c>
      <c r="C29">
        <v>250063.520859488</v>
      </c>
      <c r="D29" s="4">
        <v>1845</v>
      </c>
    </row>
    <row r="30" spans="1:4" x14ac:dyDescent="0.3">
      <c r="A30" t="s">
        <v>9</v>
      </c>
      <c r="B30" s="6">
        <v>43313</v>
      </c>
      <c r="C30">
        <v>251301.008787753</v>
      </c>
      <c r="D30" s="4">
        <v>1327</v>
      </c>
    </row>
    <row r="31" spans="1:4" x14ac:dyDescent="0.3">
      <c r="A31" t="s">
        <v>9</v>
      </c>
      <c r="B31" s="6">
        <v>43344</v>
      </c>
      <c r="C31">
        <v>249988.470352759</v>
      </c>
      <c r="D31" s="4">
        <v>1023</v>
      </c>
    </row>
    <row r="32" spans="1:4" x14ac:dyDescent="0.3">
      <c r="A32" t="s">
        <v>9</v>
      </c>
      <c r="B32" s="6">
        <v>43374</v>
      </c>
      <c r="C32">
        <v>246125.90555450399</v>
      </c>
      <c r="D32" s="4">
        <v>1161</v>
      </c>
    </row>
    <row r="33" spans="1:4" x14ac:dyDescent="0.3">
      <c r="A33" t="s">
        <v>9</v>
      </c>
      <c r="B33" s="6">
        <v>43405</v>
      </c>
      <c r="C33">
        <v>244241.085189062</v>
      </c>
      <c r="D33" s="4">
        <v>1906</v>
      </c>
    </row>
    <row r="34" spans="1:4" x14ac:dyDescent="0.3">
      <c r="A34" t="s">
        <v>9</v>
      </c>
      <c r="B34" s="6">
        <v>43435</v>
      </c>
      <c r="C34">
        <v>244334.00925643399</v>
      </c>
      <c r="D34" s="4">
        <v>2790</v>
      </c>
    </row>
    <row r="35" spans="1:4" x14ac:dyDescent="0.3">
      <c r="A35" t="s">
        <v>9</v>
      </c>
      <c r="B35" s="6">
        <v>43466</v>
      </c>
      <c r="C35">
        <v>246404.67775661999</v>
      </c>
      <c r="D35" s="4">
        <v>2385</v>
      </c>
    </row>
    <row r="36" spans="1:4" x14ac:dyDescent="0.3">
      <c r="A36" t="s">
        <v>9</v>
      </c>
      <c r="B36" s="6">
        <v>43497</v>
      </c>
      <c r="C36">
        <v>248288.58656420099</v>
      </c>
      <c r="D36" s="4">
        <v>2159</v>
      </c>
    </row>
    <row r="37" spans="1:4" x14ac:dyDescent="0.3">
      <c r="A37" t="s">
        <v>9</v>
      </c>
      <c r="B37" s="6">
        <v>43525</v>
      </c>
      <c r="C37">
        <v>249985.735679178</v>
      </c>
      <c r="D37" s="4">
        <v>1667</v>
      </c>
    </row>
    <row r="38" spans="1:4" x14ac:dyDescent="0.3">
      <c r="A38" t="s">
        <v>9</v>
      </c>
      <c r="B38" s="6">
        <v>43556</v>
      </c>
      <c r="C38">
        <v>251496.12510155101</v>
      </c>
      <c r="D38" s="4">
        <v>2229</v>
      </c>
    </row>
    <row r="39" spans="1:4" x14ac:dyDescent="0.3">
      <c r="A39" t="s">
        <v>9</v>
      </c>
      <c r="B39" s="6">
        <v>43586</v>
      </c>
      <c r="C39">
        <v>256296.12863098099</v>
      </c>
      <c r="D39" s="4">
        <v>2825</v>
      </c>
    </row>
    <row r="40" spans="1:4" x14ac:dyDescent="0.3">
      <c r="A40" t="s">
        <v>9</v>
      </c>
      <c r="B40" s="6">
        <v>43617</v>
      </c>
      <c r="C40">
        <v>264385.74626746803</v>
      </c>
      <c r="D40" s="4">
        <v>2712</v>
      </c>
    </row>
    <row r="41" spans="1:4" x14ac:dyDescent="0.3">
      <c r="A41" t="s">
        <v>9</v>
      </c>
      <c r="B41" s="6">
        <v>43647</v>
      </c>
      <c r="C41">
        <v>275764.97801101202</v>
      </c>
      <c r="D41" s="4">
        <v>2021</v>
      </c>
    </row>
    <row r="42" spans="1:4" x14ac:dyDescent="0.3">
      <c r="A42" t="s">
        <v>9</v>
      </c>
      <c r="B42" s="6">
        <v>43678</v>
      </c>
      <c r="C42">
        <v>282767.55243863899</v>
      </c>
      <c r="D42" s="4">
        <v>1262</v>
      </c>
    </row>
    <row r="43" spans="1:4" x14ac:dyDescent="0.3">
      <c r="A43" t="s">
        <v>9</v>
      </c>
      <c r="B43" s="6">
        <v>43709</v>
      </c>
      <c r="C43">
        <v>285393.46955034899</v>
      </c>
      <c r="D43" s="4">
        <v>804</v>
      </c>
    </row>
    <row r="44" spans="1:4" x14ac:dyDescent="0.3">
      <c r="A44" t="s">
        <v>9</v>
      </c>
      <c r="B44" s="6">
        <v>43739</v>
      </c>
      <c r="C44">
        <v>283642.72934614099</v>
      </c>
      <c r="D44" s="4">
        <v>1106</v>
      </c>
    </row>
    <row r="45" spans="1:4" x14ac:dyDescent="0.3">
      <c r="A45" t="s">
        <v>9</v>
      </c>
      <c r="B45" s="6">
        <v>43770</v>
      </c>
      <c r="C45">
        <v>279657.997285483</v>
      </c>
      <c r="D45" s="4">
        <v>1581</v>
      </c>
    </row>
    <row r="46" spans="1:4" x14ac:dyDescent="0.3">
      <c r="A46" t="s">
        <v>9</v>
      </c>
      <c r="B46" s="6">
        <v>43800</v>
      </c>
      <c r="C46">
        <v>273439.27336837503</v>
      </c>
      <c r="D46" s="4">
        <v>2552</v>
      </c>
    </row>
    <row r="47" spans="1:4" x14ac:dyDescent="0.3">
      <c r="A47" t="s">
        <v>9</v>
      </c>
      <c r="B47" s="6">
        <v>43831</v>
      </c>
      <c r="C47">
        <v>264986.55759481702</v>
      </c>
      <c r="D47" s="4">
        <v>2999</v>
      </c>
    </row>
    <row r="48" spans="1:4" x14ac:dyDescent="0.3">
      <c r="A48" t="s">
        <v>9</v>
      </c>
      <c r="B48" s="6">
        <v>43862</v>
      </c>
      <c r="C48">
        <v>258019.21045531501</v>
      </c>
      <c r="D48" s="4">
        <v>2888</v>
      </c>
    </row>
    <row r="49" spans="1:4" x14ac:dyDescent="0.3">
      <c r="A49" t="s">
        <v>9</v>
      </c>
      <c r="B49" s="6">
        <v>43891</v>
      </c>
      <c r="C49">
        <v>252537.231949868</v>
      </c>
      <c r="D49" s="4">
        <v>2875</v>
      </c>
    </row>
    <row r="50" spans="1:4" x14ac:dyDescent="0.3">
      <c r="A50" t="s">
        <v>9</v>
      </c>
      <c r="B50" s="6">
        <v>43922</v>
      </c>
      <c r="C50">
        <v>248540.622078477</v>
      </c>
      <c r="D50" s="4">
        <v>2825</v>
      </c>
    </row>
    <row r="51" spans="1:4" x14ac:dyDescent="0.3">
      <c r="A51" t="s">
        <v>9</v>
      </c>
      <c r="B51" s="6">
        <v>43952</v>
      </c>
      <c r="C51">
        <v>250732.00305177199</v>
      </c>
      <c r="D51" s="4">
        <v>2701</v>
      </c>
    </row>
    <row r="52" spans="1:4" x14ac:dyDescent="0.3">
      <c r="A52" t="s">
        <v>9</v>
      </c>
      <c r="B52" s="6">
        <v>43983</v>
      </c>
      <c r="C52">
        <v>259111.37486975099</v>
      </c>
      <c r="D52" s="4">
        <v>2153</v>
      </c>
    </row>
    <row r="53" spans="1:4" x14ac:dyDescent="0.3">
      <c r="A53" t="s">
        <v>9</v>
      </c>
      <c r="B53" s="6">
        <v>44013</v>
      </c>
      <c r="C53">
        <v>273678.737532417</v>
      </c>
      <c r="D53" s="4">
        <v>1862</v>
      </c>
    </row>
    <row r="54" spans="1:4" x14ac:dyDescent="0.3">
      <c r="A54" t="s">
        <v>9</v>
      </c>
      <c r="B54" s="6">
        <v>44044</v>
      </c>
      <c r="C54">
        <v>280719.775048771</v>
      </c>
      <c r="D54" s="4">
        <v>1201</v>
      </c>
    </row>
    <row r="55" spans="1:4" x14ac:dyDescent="0.3">
      <c r="A55" t="s">
        <v>9</v>
      </c>
      <c r="B55" s="6">
        <v>44075</v>
      </c>
      <c r="C55">
        <v>280234.487418812</v>
      </c>
      <c r="D55" s="4">
        <v>1050</v>
      </c>
    </row>
    <row r="56" spans="1:4" x14ac:dyDescent="0.3">
      <c r="A56" t="s">
        <v>9</v>
      </c>
      <c r="B56" s="6">
        <v>44105</v>
      </c>
      <c r="C56">
        <v>272222.87464254303</v>
      </c>
      <c r="D56" s="4">
        <v>724</v>
      </c>
    </row>
    <row r="57" spans="1:4" x14ac:dyDescent="0.3">
      <c r="A57" t="s">
        <v>9</v>
      </c>
      <c r="B57" s="6">
        <v>44136</v>
      </c>
      <c r="C57">
        <v>273972.31546656799</v>
      </c>
      <c r="D57" s="4">
        <v>969</v>
      </c>
    </row>
    <row r="58" spans="1:4" x14ac:dyDescent="0.3">
      <c r="A58" t="s">
        <v>9</v>
      </c>
      <c r="B58" s="6">
        <v>44166</v>
      </c>
      <c r="C58">
        <v>285482.80989088898</v>
      </c>
      <c r="D58" s="4">
        <v>2005</v>
      </c>
    </row>
    <row r="59" spans="1:4" x14ac:dyDescent="0.3">
      <c r="A59" t="s">
        <v>9</v>
      </c>
      <c r="B59" s="6">
        <v>44197</v>
      </c>
      <c r="C59">
        <v>306754.35791550501</v>
      </c>
      <c r="D59" s="4">
        <v>2861</v>
      </c>
    </row>
    <row r="60" spans="1:4" x14ac:dyDescent="0.3">
      <c r="A60" t="s">
        <v>9</v>
      </c>
      <c r="B60" s="6">
        <v>44228</v>
      </c>
      <c r="C60">
        <v>312740.72648503003</v>
      </c>
      <c r="D60" s="4">
        <v>2584</v>
      </c>
    </row>
    <row r="61" spans="1:4" x14ac:dyDescent="0.3">
      <c r="A61" t="s">
        <v>9</v>
      </c>
      <c r="B61" s="6">
        <v>44256</v>
      </c>
      <c r="C61">
        <v>303441.91559946502</v>
      </c>
      <c r="D61" s="4">
        <v>2372</v>
      </c>
    </row>
    <row r="62" spans="1:4" x14ac:dyDescent="0.3">
      <c r="A62" t="s">
        <v>9</v>
      </c>
      <c r="B62" s="6">
        <v>44287</v>
      </c>
      <c r="C62">
        <v>278857.925258809</v>
      </c>
      <c r="D62" s="4">
        <v>2292</v>
      </c>
    </row>
    <row r="63" spans="1:4" x14ac:dyDescent="0.3">
      <c r="A63" t="s">
        <v>9</v>
      </c>
      <c r="B63" s="6">
        <v>44317</v>
      </c>
      <c r="C63">
        <v>274248.98372953897</v>
      </c>
      <c r="D63" s="4">
        <v>2887</v>
      </c>
    </row>
    <row r="64" spans="1:4" x14ac:dyDescent="0.3">
      <c r="A64" t="s">
        <v>9</v>
      </c>
      <c r="B64" s="6">
        <v>44348</v>
      </c>
      <c r="C64">
        <v>289615.09101165202</v>
      </c>
      <c r="D64" s="4">
        <v>2933</v>
      </c>
    </row>
    <row r="65" spans="1:4" x14ac:dyDescent="0.3">
      <c r="A65" t="s">
        <v>9</v>
      </c>
      <c r="B65" s="6">
        <v>44378</v>
      </c>
      <c r="C65">
        <v>324956.24710515002</v>
      </c>
      <c r="D65" s="4">
        <v>2042</v>
      </c>
    </row>
    <row r="66" spans="1:4" x14ac:dyDescent="0.3">
      <c r="A66" t="s">
        <v>9</v>
      </c>
      <c r="B66" s="6">
        <v>44409</v>
      </c>
      <c r="C66">
        <v>344278.350799662</v>
      </c>
      <c r="D66" s="4">
        <v>1038</v>
      </c>
    </row>
    <row r="67" spans="1:4" x14ac:dyDescent="0.3">
      <c r="A67" t="s">
        <v>9</v>
      </c>
      <c r="B67" s="6">
        <v>44440</v>
      </c>
      <c r="C67">
        <v>347581.40209518699</v>
      </c>
      <c r="D67" s="4">
        <v>832</v>
      </c>
    </row>
    <row r="68" spans="1:4" x14ac:dyDescent="0.3">
      <c r="A68" t="s">
        <v>9</v>
      </c>
      <c r="B68" s="6">
        <v>44470</v>
      </c>
      <c r="C68">
        <v>334865.40099172603</v>
      </c>
      <c r="D68" s="4">
        <v>811</v>
      </c>
    </row>
    <row r="69" spans="1:4" x14ac:dyDescent="0.3">
      <c r="A69" t="s">
        <v>9</v>
      </c>
      <c r="B69" s="6">
        <v>44501</v>
      </c>
      <c r="C69">
        <v>324410.849972066</v>
      </c>
      <c r="D69" s="4">
        <v>1433</v>
      </c>
    </row>
    <row r="70" spans="1:4" x14ac:dyDescent="0.3">
      <c r="A70" t="s">
        <v>9</v>
      </c>
      <c r="B70" s="6">
        <v>44531</v>
      </c>
      <c r="C70">
        <v>316217.74903620803</v>
      </c>
      <c r="D70" s="4">
        <v>2794</v>
      </c>
    </row>
    <row r="71" spans="1:4" x14ac:dyDescent="0.3">
      <c r="A71" t="s">
        <v>9</v>
      </c>
      <c r="B71" s="6">
        <v>44562</v>
      </c>
      <c r="C71">
        <v>310286.09818415198</v>
      </c>
      <c r="D71" s="4">
        <v>2865</v>
      </c>
    </row>
    <row r="72" spans="1:4" x14ac:dyDescent="0.3">
      <c r="A72" t="s">
        <v>9</v>
      </c>
      <c r="B72" s="6">
        <v>44593</v>
      </c>
      <c r="C72">
        <v>307105.61183302401</v>
      </c>
      <c r="D72" s="4">
        <v>3148</v>
      </c>
    </row>
    <row r="73" spans="1:4" x14ac:dyDescent="0.3">
      <c r="A73" t="s">
        <v>9</v>
      </c>
      <c r="B73" s="6">
        <v>44621</v>
      </c>
      <c r="C73">
        <v>306676.289982824</v>
      </c>
      <c r="D73" s="4">
        <v>3096</v>
      </c>
    </row>
    <row r="74" spans="1:4" x14ac:dyDescent="0.3">
      <c r="A74" t="s">
        <v>9</v>
      </c>
      <c r="B74" s="6">
        <v>44652</v>
      </c>
      <c r="C74">
        <v>308998.132633553</v>
      </c>
      <c r="D74" s="4">
        <v>2961</v>
      </c>
    </row>
    <row r="75" spans="1:4" x14ac:dyDescent="0.3">
      <c r="A75" t="s">
        <v>9</v>
      </c>
      <c r="B75" s="6">
        <v>44682</v>
      </c>
      <c r="C75">
        <v>318553.493821071</v>
      </c>
      <c r="D75" s="4">
        <v>2571</v>
      </c>
    </row>
    <row r="76" spans="1:4" x14ac:dyDescent="0.3">
      <c r="A76" t="s">
        <v>9</v>
      </c>
      <c r="B76" s="6">
        <v>44713</v>
      </c>
      <c r="C76">
        <v>335342.373545376</v>
      </c>
      <c r="D76" s="4">
        <v>2209</v>
      </c>
    </row>
    <row r="77" spans="1:4" x14ac:dyDescent="0.3">
      <c r="A77" t="s">
        <v>9</v>
      </c>
      <c r="B77" s="6">
        <v>44743</v>
      </c>
      <c r="C77">
        <v>359364.77180647099</v>
      </c>
      <c r="D77" s="4">
        <v>1280</v>
      </c>
    </row>
    <row r="78" spans="1:4" x14ac:dyDescent="0.3">
      <c r="A78" t="s">
        <v>9</v>
      </c>
      <c r="B78" s="6">
        <v>44774</v>
      </c>
      <c r="C78">
        <v>375529.04251689202</v>
      </c>
      <c r="D78" s="4">
        <v>1193</v>
      </c>
    </row>
    <row r="79" spans="1:4" x14ac:dyDescent="0.3">
      <c r="A79" t="s">
        <v>9</v>
      </c>
      <c r="B79" s="6">
        <v>44805</v>
      </c>
      <c r="C79">
        <v>383835.18567663699</v>
      </c>
      <c r="D79" s="4">
        <v>839</v>
      </c>
    </row>
    <row r="80" spans="1:4" x14ac:dyDescent="0.3">
      <c r="A80" t="s">
        <v>9</v>
      </c>
      <c r="B80" s="6">
        <v>44835</v>
      </c>
      <c r="C80">
        <v>384283.201285708</v>
      </c>
      <c r="D80" s="4">
        <v>1065</v>
      </c>
    </row>
    <row r="81" spans="1:4" x14ac:dyDescent="0.3">
      <c r="A81" t="s">
        <v>9</v>
      </c>
      <c r="B81" s="6">
        <v>44866</v>
      </c>
      <c r="C81">
        <v>379042.55422369501</v>
      </c>
      <c r="D81" s="4">
        <v>1397</v>
      </c>
    </row>
    <row r="82" spans="1:4" x14ac:dyDescent="0.3">
      <c r="A82" t="s">
        <v>9</v>
      </c>
      <c r="B82" s="6">
        <v>44896</v>
      </c>
      <c r="C82">
        <v>368113.24449059699</v>
      </c>
      <c r="D82" s="4">
        <v>1858</v>
      </c>
    </row>
    <row r="83" spans="1:4" x14ac:dyDescent="0.3">
      <c r="A83" t="s">
        <v>9</v>
      </c>
      <c r="B83" s="6">
        <v>44927</v>
      </c>
      <c r="C83">
        <v>351495.27208641497</v>
      </c>
      <c r="D83" s="4">
        <v>2179</v>
      </c>
    </row>
    <row r="84" spans="1:4" x14ac:dyDescent="0.3">
      <c r="A84" t="s">
        <v>9</v>
      </c>
      <c r="B84" s="6">
        <v>44958</v>
      </c>
      <c r="C84">
        <v>337839.57492055802</v>
      </c>
      <c r="D84" s="4">
        <v>2021</v>
      </c>
    </row>
    <row r="85" spans="1:4" x14ac:dyDescent="0.3">
      <c r="A85" t="s">
        <v>9</v>
      </c>
      <c r="B85" s="6">
        <v>44986</v>
      </c>
      <c r="C85">
        <v>327146.152993027</v>
      </c>
      <c r="D85" s="4">
        <v>2263</v>
      </c>
    </row>
    <row r="86" spans="1:4" x14ac:dyDescent="0.3">
      <c r="A86" t="s">
        <v>9</v>
      </c>
      <c r="B86" s="6">
        <v>45017</v>
      </c>
      <c r="C86">
        <v>319415.00630382198</v>
      </c>
      <c r="D86" s="4">
        <v>1810</v>
      </c>
    </row>
    <row r="87" spans="1:4" x14ac:dyDescent="0.3">
      <c r="A87" t="s">
        <v>9</v>
      </c>
      <c r="B87" s="6">
        <v>45047</v>
      </c>
      <c r="C87">
        <v>322924.71490365401</v>
      </c>
      <c r="D87" s="4">
        <v>1840</v>
      </c>
    </row>
    <row r="88" spans="1:4" x14ac:dyDescent="0.3">
      <c r="A88" t="s">
        <v>9</v>
      </c>
      <c r="B88" s="6">
        <v>45078</v>
      </c>
      <c r="C88">
        <v>337675.27879252401</v>
      </c>
      <c r="D88" s="4">
        <v>2349</v>
      </c>
    </row>
    <row r="89" spans="1:4" x14ac:dyDescent="0.3">
      <c r="A89" t="s">
        <v>9</v>
      </c>
      <c r="B89" s="6">
        <v>45108</v>
      </c>
      <c r="C89">
        <v>363666.69797043299</v>
      </c>
      <c r="D89" s="4">
        <v>1771</v>
      </c>
    </row>
    <row r="90" spans="1:4" x14ac:dyDescent="0.3">
      <c r="A90" t="s">
        <v>9</v>
      </c>
      <c r="B90" s="6">
        <v>45139</v>
      </c>
      <c r="C90">
        <v>384912.279287085</v>
      </c>
      <c r="D90" s="4">
        <v>1212</v>
      </c>
    </row>
    <row r="91" spans="1:4" x14ac:dyDescent="0.3">
      <c r="A91" t="s">
        <v>9</v>
      </c>
      <c r="B91" s="6">
        <v>45170</v>
      </c>
      <c r="C91">
        <v>401412.02274248202</v>
      </c>
      <c r="D91" s="4">
        <v>754</v>
      </c>
    </row>
    <row r="92" spans="1:4" x14ac:dyDescent="0.3">
      <c r="A92" t="s">
        <v>9</v>
      </c>
      <c r="B92" s="6">
        <v>45200</v>
      </c>
      <c r="C92">
        <v>413165.928336624</v>
      </c>
      <c r="D92" s="4">
        <v>273</v>
      </c>
    </row>
    <row r="93" spans="1:4" x14ac:dyDescent="0.3">
      <c r="A93" t="s">
        <v>9</v>
      </c>
      <c r="B93" s="6">
        <v>45231</v>
      </c>
      <c r="C93">
        <v>410420.20848269103</v>
      </c>
      <c r="D93" s="4">
        <v>904</v>
      </c>
    </row>
    <row r="94" spans="1:4" x14ac:dyDescent="0.3">
      <c r="A94" t="s">
        <v>9</v>
      </c>
      <c r="B94" s="6">
        <v>45261</v>
      </c>
      <c r="C94">
        <v>393174.86318068497</v>
      </c>
      <c r="D94" s="4">
        <v>2069</v>
      </c>
    </row>
    <row r="95" spans="1:4" x14ac:dyDescent="0.3">
      <c r="A95" t="s">
        <v>9</v>
      </c>
      <c r="B95" s="6">
        <v>45292</v>
      </c>
      <c r="C95">
        <v>361429.89243060403</v>
      </c>
      <c r="D95" s="4">
        <v>2567</v>
      </c>
    </row>
    <row r="96" spans="1:4" x14ac:dyDescent="0.3">
      <c r="A96" t="s">
        <v>9</v>
      </c>
      <c r="B96" s="6">
        <v>45323</v>
      </c>
      <c r="C96">
        <v>340722.230420131</v>
      </c>
      <c r="D96" s="4">
        <v>2965</v>
      </c>
    </row>
    <row r="97" spans="1:4" x14ac:dyDescent="0.3">
      <c r="A97" t="s">
        <v>9</v>
      </c>
      <c r="B97" s="6">
        <v>45352</v>
      </c>
      <c r="C97">
        <v>331051.87714926602</v>
      </c>
      <c r="D97" s="4">
        <v>2938</v>
      </c>
    </row>
    <row r="98" spans="1:4" x14ac:dyDescent="0.3">
      <c r="A98" t="s">
        <v>9</v>
      </c>
      <c r="B98" s="6">
        <v>45383</v>
      </c>
      <c r="C98">
        <v>332418.83261800802</v>
      </c>
      <c r="D98" s="4">
        <v>2997</v>
      </c>
    </row>
    <row r="99" spans="1:4" x14ac:dyDescent="0.3">
      <c r="A99" t="s">
        <v>9</v>
      </c>
      <c r="B99" s="6">
        <v>45413</v>
      </c>
      <c r="C99">
        <v>345297.69702168799</v>
      </c>
      <c r="D99" s="4">
        <v>2611</v>
      </c>
    </row>
    <row r="100" spans="1:4" x14ac:dyDescent="0.3">
      <c r="A100" t="s">
        <v>9</v>
      </c>
      <c r="B100" s="6">
        <v>45444</v>
      </c>
      <c r="C100">
        <v>369688.470360304</v>
      </c>
      <c r="D100" s="4">
        <v>1828</v>
      </c>
    </row>
    <row r="101" spans="1:4" x14ac:dyDescent="0.3">
      <c r="A101" t="s">
        <v>9</v>
      </c>
      <c r="B101" s="6">
        <v>45474</v>
      </c>
      <c r="C101">
        <v>405591.15263385599</v>
      </c>
      <c r="D101" s="4">
        <v>1200</v>
      </c>
    </row>
    <row r="102" spans="1:4" x14ac:dyDescent="0.3">
      <c r="A102" t="s">
        <v>9</v>
      </c>
      <c r="B102" s="6">
        <v>45505</v>
      </c>
      <c r="C102">
        <v>430130.20872685203</v>
      </c>
      <c r="D102" s="4">
        <v>855</v>
      </c>
    </row>
    <row r="103" spans="1:4" x14ac:dyDescent="0.3">
      <c r="A103" t="s">
        <v>9</v>
      </c>
      <c r="B103" s="6">
        <v>45536</v>
      </c>
      <c r="C103">
        <v>443305.63863929198</v>
      </c>
      <c r="D103" s="4">
        <v>371</v>
      </c>
    </row>
    <row r="104" spans="1:4" x14ac:dyDescent="0.3">
      <c r="A104" t="s">
        <v>9</v>
      </c>
      <c r="B104" s="6">
        <v>45566</v>
      </c>
      <c r="C104">
        <v>445117.44237117597</v>
      </c>
      <c r="D104" s="4">
        <v>386</v>
      </c>
    </row>
    <row r="105" spans="1:4" x14ac:dyDescent="0.3">
      <c r="A105" t="s">
        <v>9</v>
      </c>
      <c r="B105" s="6">
        <v>45597</v>
      </c>
      <c r="C105">
        <v>446325.31152576499</v>
      </c>
      <c r="D105" s="4">
        <v>1016</v>
      </c>
    </row>
    <row r="106" spans="1:4" x14ac:dyDescent="0.3">
      <c r="A106" t="s">
        <v>9</v>
      </c>
      <c r="B106" s="6">
        <v>45627</v>
      </c>
      <c r="C106">
        <v>446929.24610305898</v>
      </c>
      <c r="D106" s="4">
        <v>2251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Receita_TRI</vt:lpstr>
      <vt:lpstr>Energia_MES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CAMARA</dc:creator>
  <cp:lastModifiedBy>CLAUDIO CAMARA</cp:lastModifiedBy>
  <dcterms:created xsi:type="dcterms:W3CDTF">2025-09-04T13:18:02Z</dcterms:created>
  <dcterms:modified xsi:type="dcterms:W3CDTF">2025-10-24T20:35:40Z</dcterms:modified>
</cp:coreProperties>
</file>