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4d43f62665f155/IDP/Dissertação Mestrado/Base de Dados/"/>
    </mc:Choice>
  </mc:AlternateContent>
  <xr:revisionPtr revIDLastSave="32" documentId="8_{01360146-059C-42F5-AF96-343D19DC131F}" xr6:coauthVersionLast="47" xr6:coauthVersionMax="47" xr10:uidLastSave="{2842B451-9D5E-410D-8B42-D95ADA5595B6}"/>
  <bookViews>
    <workbookView xWindow="-108" yWindow="-108" windowWidth="23256" windowHeight="12456" activeTab="1" xr2:uid="{FC7553D0-F349-42D2-9AB7-3729C579D1D6}"/>
  </bookViews>
  <sheets>
    <sheet name="Receita_TRI" sheetId="1" r:id="rId1"/>
    <sheet name="Energia_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1" i="1"/>
  <c r="G32" i="1" s="1"/>
  <c r="G30" i="1"/>
  <c r="G26" i="1"/>
  <c r="G20" i="1"/>
  <c r="G16" i="1"/>
  <c r="G12" i="1"/>
  <c r="G8" i="1"/>
  <c r="G4" i="1"/>
  <c r="G28" i="1" l="1"/>
  <c r="G27" i="1"/>
  <c r="G35" i="1"/>
  <c r="G36" i="1" s="1"/>
  <c r="B96" i="2" l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84" i="2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72" i="2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60" i="2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48" i="2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36" i="2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25" i="2"/>
  <c r="B26" i="2"/>
  <c r="B27" i="2"/>
  <c r="B28" i="2"/>
  <c r="B29" i="2"/>
  <c r="B30" i="2" s="1"/>
  <c r="B31" i="2" s="1"/>
  <c r="B32" i="2" s="1"/>
  <c r="B33" i="2" s="1"/>
  <c r="B34" i="2" s="1"/>
  <c r="B24" i="2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3" i="2"/>
  <c r="B4" i="2" s="1"/>
  <c r="B5" i="2" s="1"/>
  <c r="B6" i="2" s="1"/>
  <c r="B7" i="2" s="1"/>
  <c r="B8" i="2" s="1"/>
  <c r="B9" i="2" s="1"/>
  <c r="B10" i="2" s="1"/>
  <c r="E34" i="1"/>
  <c r="E35" i="1" s="1"/>
  <c r="E36" i="1" s="1"/>
  <c r="E32" i="1"/>
  <c r="E26" i="1"/>
  <c r="E22" i="1"/>
  <c r="E18" i="1"/>
  <c r="E14" i="1"/>
  <c r="E10" i="1"/>
  <c r="E8" i="1"/>
  <c r="E4" i="1"/>
  <c r="E27" i="1" l="1"/>
  <c r="E28" i="1" s="1"/>
  <c r="E15" i="1"/>
  <c r="E16" i="1" s="1"/>
  <c r="E11" i="1"/>
  <c r="E12" i="1" s="1"/>
  <c r="E23" i="1"/>
  <c r="E24" i="1" s="1"/>
  <c r="E19" i="1"/>
  <c r="E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CAMARA</author>
  </authors>
  <commentList>
    <comment ref="E1" authorId="0" shapeId="0" xr:uid="{669145E8-FB63-4826-901A-83C5F3FF811F}">
      <text>
        <r>
          <rPr>
            <b/>
            <sz val="9"/>
            <color indexed="81"/>
            <rFont val="Segoe UI"/>
            <family val="2"/>
          </rPr>
          <t>CLAUDIO CAMARA:</t>
        </r>
        <r>
          <rPr>
            <sz val="9"/>
            <color indexed="81"/>
            <rFont val="Segoe UI"/>
            <family val="2"/>
          </rPr>
          <t xml:space="preserve">
Receita líquida de impostos e taxas.</t>
        </r>
      </text>
    </comment>
  </commentList>
</comments>
</file>

<file path=xl/sharedStrings.xml><?xml version="1.0" encoding="utf-8"?>
<sst xmlns="http://schemas.openxmlformats.org/spreadsheetml/2006/main" count="225" uniqueCount="10">
  <si>
    <t>Ano</t>
  </si>
  <si>
    <t>Trim</t>
  </si>
  <si>
    <t>Usina</t>
  </si>
  <si>
    <t>Mes</t>
  </si>
  <si>
    <t>BM</t>
  </si>
  <si>
    <t>Serie</t>
  </si>
  <si>
    <t>Receita_Vendas</t>
  </si>
  <si>
    <t>Valor</t>
  </si>
  <si>
    <t>Energia_Base_MWh</t>
  </si>
  <si>
    <t>Energia Comprada Revenda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</si>
</sst>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681E-997D-4AD8-8ED9-72CC440DCBAD}">
  <dimension ref="A1:G39"/>
  <sheetViews>
    <sheetView workbookViewId="0">
      <selection activeCell="E38" sqref="E38"/>
    </sheetView>
  </sheetViews>
  <sheetFormatPr defaultRowHeight="14.4" x14ac:dyDescent="0.3"/>
  <cols>
    <col min="1" max="1" width="6.77734375" bestFit="1" customWidth="1"/>
    <col min="2" max="3" width="6.77734375" customWidth="1"/>
    <col min="4" max="4" width="14" bestFit="1" customWidth="1"/>
    <col min="5" max="5" width="15" bestFit="1" customWidth="1"/>
    <col min="6" max="6" width="23.33203125" bestFit="1" customWidth="1"/>
    <col min="7" max="7" width="11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5</v>
      </c>
      <c r="E1" s="1" t="s">
        <v>7</v>
      </c>
      <c r="F1" t="s">
        <v>5</v>
      </c>
      <c r="G1" t="s">
        <v>7</v>
      </c>
    </row>
    <row r="2" spans="1:7" x14ac:dyDescent="0.3">
      <c r="A2" s="2">
        <v>2016</v>
      </c>
      <c r="B2" s="2">
        <v>2</v>
      </c>
      <c r="C2" s="2" t="s">
        <v>4</v>
      </c>
      <c r="D2" s="2" t="s">
        <v>6</v>
      </c>
      <c r="E2" s="3">
        <v>98803</v>
      </c>
      <c r="F2" t="s">
        <v>9</v>
      </c>
      <c r="G2" s="3">
        <v>-1053</v>
      </c>
    </row>
    <row r="3" spans="1:7" x14ac:dyDescent="0.3">
      <c r="A3" s="2">
        <v>2016</v>
      </c>
      <c r="B3" s="2">
        <v>3</v>
      </c>
      <c r="C3" s="2" t="s">
        <v>4</v>
      </c>
      <c r="D3" s="2" t="s">
        <v>6</v>
      </c>
      <c r="E3" s="3">
        <v>209388</v>
      </c>
      <c r="F3" t="s">
        <v>9</v>
      </c>
      <c r="G3" s="3">
        <v>0</v>
      </c>
    </row>
    <row r="4" spans="1:7" x14ac:dyDescent="0.3">
      <c r="A4" s="2">
        <v>2016</v>
      </c>
      <c r="B4" s="2">
        <v>4</v>
      </c>
      <c r="C4" s="2" t="s">
        <v>4</v>
      </c>
      <c r="D4" s="2" t="s">
        <v>6</v>
      </c>
      <c r="E4" s="3">
        <f>654543-E2-E3</f>
        <v>346352</v>
      </c>
      <c r="F4" t="s">
        <v>9</v>
      </c>
      <c r="G4" s="3">
        <f>-56339-(G2+G3)</f>
        <v>-55286</v>
      </c>
    </row>
    <row r="5" spans="1:7" x14ac:dyDescent="0.3">
      <c r="A5" s="2">
        <v>2017</v>
      </c>
      <c r="B5" s="2">
        <v>1</v>
      </c>
      <c r="C5" s="2" t="s">
        <v>4</v>
      </c>
      <c r="D5" s="2" t="s">
        <v>6</v>
      </c>
      <c r="E5" s="3">
        <v>478859</v>
      </c>
      <c r="F5" t="s">
        <v>9</v>
      </c>
      <c r="G5" s="3">
        <v>-2131</v>
      </c>
    </row>
    <row r="6" spans="1:7" x14ac:dyDescent="0.3">
      <c r="A6" s="2">
        <v>2017</v>
      </c>
      <c r="B6" s="2">
        <v>2</v>
      </c>
      <c r="C6" s="2" t="s">
        <v>4</v>
      </c>
      <c r="D6" s="2" t="s">
        <v>6</v>
      </c>
      <c r="E6" s="3">
        <v>487895</v>
      </c>
      <c r="F6" t="s">
        <v>9</v>
      </c>
      <c r="G6" s="3">
        <v>-7966</v>
      </c>
    </row>
    <row r="7" spans="1:7" x14ac:dyDescent="0.3">
      <c r="A7" s="2">
        <v>2017</v>
      </c>
      <c r="B7" s="2">
        <v>3</v>
      </c>
      <c r="C7" s="2" t="s">
        <v>4</v>
      </c>
      <c r="D7" s="2" t="s">
        <v>6</v>
      </c>
      <c r="E7" s="3">
        <v>821801</v>
      </c>
      <c r="F7" t="s">
        <v>9</v>
      </c>
      <c r="G7" s="3">
        <v>-538675</v>
      </c>
    </row>
    <row r="8" spans="1:7" x14ac:dyDescent="0.3">
      <c r="A8" s="2">
        <v>2017</v>
      </c>
      <c r="B8" s="2">
        <v>4</v>
      </c>
      <c r="C8" s="2" t="s">
        <v>4</v>
      </c>
      <c r="D8" s="2" t="s">
        <v>6</v>
      </c>
      <c r="E8" s="3">
        <f>2598916-E5-E6-E7</f>
        <v>810361</v>
      </c>
      <c r="F8" t="s">
        <v>9</v>
      </c>
      <c r="G8" s="3">
        <f>-1023380-(G5+G6+G7)</f>
        <v>-474608</v>
      </c>
    </row>
    <row r="9" spans="1:7" x14ac:dyDescent="0.3">
      <c r="A9" s="2">
        <v>2018</v>
      </c>
      <c r="B9" s="2">
        <v>1</v>
      </c>
      <c r="C9" s="2" t="s">
        <v>4</v>
      </c>
      <c r="D9" s="2" t="s">
        <v>6</v>
      </c>
      <c r="E9" s="3">
        <v>890765</v>
      </c>
      <c r="F9" t="s">
        <v>9</v>
      </c>
      <c r="G9" s="3">
        <v>-6906</v>
      </c>
    </row>
    <row r="10" spans="1:7" x14ac:dyDescent="0.3">
      <c r="A10" s="2">
        <v>2018</v>
      </c>
      <c r="B10" s="2">
        <v>2</v>
      </c>
      <c r="C10" s="2" t="s">
        <v>4</v>
      </c>
      <c r="D10" s="2" t="s">
        <v>6</v>
      </c>
      <c r="E10" s="3">
        <f>1947287-E9</f>
        <v>1056522</v>
      </c>
      <c r="F10" t="s">
        <v>9</v>
      </c>
      <c r="G10" s="3">
        <v>-32237</v>
      </c>
    </row>
    <row r="11" spans="1:7" x14ac:dyDescent="0.3">
      <c r="A11" s="2">
        <v>2018</v>
      </c>
      <c r="B11" s="2">
        <v>3</v>
      </c>
      <c r="C11" s="2" t="s">
        <v>4</v>
      </c>
      <c r="D11" s="2" t="s">
        <v>6</v>
      </c>
      <c r="E11" s="3">
        <f>3229579-E9-E10</f>
        <v>1282292</v>
      </c>
      <c r="F11" t="s">
        <v>9</v>
      </c>
      <c r="G11" s="3">
        <v>47388</v>
      </c>
    </row>
    <row r="12" spans="1:7" x14ac:dyDescent="0.3">
      <c r="A12" s="2">
        <v>2018</v>
      </c>
      <c r="B12" s="2">
        <v>4</v>
      </c>
      <c r="C12" s="2" t="s">
        <v>4</v>
      </c>
      <c r="D12" s="2" t="s">
        <v>6</v>
      </c>
      <c r="E12" s="3">
        <f>4256828-E9-E10-E11</f>
        <v>1027249</v>
      </c>
      <c r="F12" t="s">
        <v>9</v>
      </c>
      <c r="G12" s="3">
        <f>-506625-(G9+G10+G11)</f>
        <v>-514870</v>
      </c>
    </row>
    <row r="13" spans="1:7" x14ac:dyDescent="0.3">
      <c r="A13" s="2">
        <v>2019</v>
      </c>
      <c r="B13" s="2">
        <v>1</v>
      </c>
      <c r="C13" s="2" t="s">
        <v>4</v>
      </c>
      <c r="D13" s="2" t="s">
        <v>6</v>
      </c>
      <c r="E13" s="3">
        <v>922084</v>
      </c>
      <c r="F13" t="s">
        <v>9</v>
      </c>
      <c r="G13" s="3">
        <v>-18849</v>
      </c>
    </row>
    <row r="14" spans="1:7" x14ac:dyDescent="0.3">
      <c r="A14" s="2">
        <v>2019</v>
      </c>
      <c r="B14" s="2">
        <v>2</v>
      </c>
      <c r="C14" s="2" t="s">
        <v>4</v>
      </c>
      <c r="D14" s="2" t="s">
        <v>6</v>
      </c>
      <c r="E14" s="3">
        <f>1855831-E13</f>
        <v>933747</v>
      </c>
      <c r="F14" t="s">
        <v>9</v>
      </c>
      <c r="G14" s="3">
        <v>-6271</v>
      </c>
    </row>
    <row r="15" spans="1:7" x14ac:dyDescent="0.3">
      <c r="A15" s="2">
        <v>2019</v>
      </c>
      <c r="B15" s="2">
        <v>3</v>
      </c>
      <c r="C15" s="2" t="s">
        <v>4</v>
      </c>
      <c r="D15" s="2" t="s">
        <v>6</v>
      </c>
      <c r="E15" s="3">
        <f>3045906-E13-E14</f>
        <v>1190075</v>
      </c>
      <c r="F15" t="s">
        <v>9</v>
      </c>
      <c r="G15" s="3">
        <v>-6430</v>
      </c>
    </row>
    <row r="16" spans="1:7" x14ac:dyDescent="0.3">
      <c r="A16" s="2">
        <v>2019</v>
      </c>
      <c r="B16" s="2">
        <v>4</v>
      </c>
      <c r="C16" s="2" t="s">
        <v>4</v>
      </c>
      <c r="D16" s="2" t="s">
        <v>6</v>
      </c>
      <c r="E16" s="3">
        <f>4214481-E13-E14-E15</f>
        <v>1168575</v>
      </c>
      <c r="F16" t="s">
        <v>9</v>
      </c>
      <c r="G16" s="3">
        <f>-44388-(G13+G14+G15)</f>
        <v>-12838</v>
      </c>
    </row>
    <row r="17" spans="1:7" x14ac:dyDescent="0.3">
      <c r="A17" s="2">
        <v>2020</v>
      </c>
      <c r="B17" s="2">
        <v>1</v>
      </c>
      <c r="C17" s="2" t="s">
        <v>4</v>
      </c>
      <c r="D17" s="2" t="s">
        <v>6</v>
      </c>
      <c r="E17" s="3">
        <v>1132549</v>
      </c>
      <c r="F17" t="s">
        <v>9</v>
      </c>
      <c r="G17" s="3">
        <v>-27224</v>
      </c>
    </row>
    <row r="18" spans="1:7" x14ac:dyDescent="0.3">
      <c r="A18" s="2">
        <v>2020</v>
      </c>
      <c r="B18" s="2">
        <v>2</v>
      </c>
      <c r="C18" s="2" t="s">
        <v>4</v>
      </c>
      <c r="D18" s="2" t="s">
        <v>6</v>
      </c>
      <c r="E18" s="3">
        <f>2148152-E17</f>
        <v>1015603</v>
      </c>
      <c r="F18" t="s">
        <v>9</v>
      </c>
      <c r="G18" s="3">
        <v>0</v>
      </c>
    </row>
    <row r="19" spans="1:7" x14ac:dyDescent="0.3">
      <c r="A19" s="2">
        <v>2020</v>
      </c>
      <c r="B19" s="2">
        <v>3</v>
      </c>
      <c r="C19" s="2" t="s">
        <v>4</v>
      </c>
      <c r="D19" s="2" t="s">
        <v>6</v>
      </c>
      <c r="E19" s="3">
        <f>3247467-E17-E18</f>
        <v>1099315</v>
      </c>
      <c r="F19" t="s">
        <v>9</v>
      </c>
      <c r="G19" s="3">
        <v>-48826</v>
      </c>
    </row>
    <row r="20" spans="1:7" x14ac:dyDescent="0.3">
      <c r="A20" s="2">
        <v>2020</v>
      </c>
      <c r="B20" s="2">
        <v>4</v>
      </c>
      <c r="C20" s="2" t="s">
        <v>4</v>
      </c>
      <c r="D20" s="2" t="s">
        <v>6</v>
      </c>
      <c r="E20" s="3">
        <f>4402647-E17-E18-E19</f>
        <v>1155180</v>
      </c>
      <c r="F20" t="s">
        <v>9</v>
      </c>
      <c r="G20" s="3">
        <f>-245714-G17-G18-G19</f>
        <v>-169664</v>
      </c>
    </row>
    <row r="21" spans="1:7" x14ac:dyDescent="0.3">
      <c r="A21" s="2">
        <v>2021</v>
      </c>
      <c r="B21" s="2">
        <v>1</v>
      </c>
      <c r="C21" s="2" t="s">
        <v>4</v>
      </c>
      <c r="D21" s="2" t="s">
        <v>6</v>
      </c>
      <c r="E21" s="3">
        <v>1202049</v>
      </c>
      <c r="F21" t="s">
        <v>9</v>
      </c>
      <c r="G21" s="3">
        <v>9277</v>
      </c>
    </row>
    <row r="22" spans="1:7" x14ac:dyDescent="0.3">
      <c r="A22" s="2">
        <v>2021</v>
      </c>
      <c r="B22" s="2">
        <v>2</v>
      </c>
      <c r="C22" s="2" t="s">
        <v>4</v>
      </c>
      <c r="D22" s="2" t="s">
        <v>6</v>
      </c>
      <c r="E22" s="3">
        <f>2330918-E21</f>
        <v>1128869</v>
      </c>
      <c r="F22" t="s">
        <v>9</v>
      </c>
      <c r="G22" s="3">
        <v>-40726</v>
      </c>
    </row>
    <row r="23" spans="1:7" x14ac:dyDescent="0.3">
      <c r="A23" s="2">
        <v>2021</v>
      </c>
      <c r="B23" s="2">
        <v>3</v>
      </c>
      <c r="C23" s="2" t="s">
        <v>4</v>
      </c>
      <c r="D23" s="2" t="s">
        <v>6</v>
      </c>
      <c r="E23" s="3">
        <f>3523265-E21-E22</f>
        <v>1192347</v>
      </c>
      <c r="F23" t="s">
        <v>9</v>
      </c>
      <c r="G23" s="3">
        <v>241053</v>
      </c>
    </row>
    <row r="24" spans="1:7" x14ac:dyDescent="0.3">
      <c r="A24" s="2">
        <v>2021</v>
      </c>
      <c r="B24" s="2">
        <v>4</v>
      </c>
      <c r="C24" s="2" t="s">
        <v>4</v>
      </c>
      <c r="D24" s="2" t="s">
        <v>6</v>
      </c>
      <c r="E24" s="3">
        <f>4836435-E21-E22-E23</f>
        <v>1313170</v>
      </c>
      <c r="F24" t="s">
        <v>9</v>
      </c>
      <c r="G24" s="3">
        <v>-356641</v>
      </c>
    </row>
    <row r="25" spans="1:7" x14ac:dyDescent="0.3">
      <c r="A25" s="2">
        <v>2022</v>
      </c>
      <c r="B25" s="2">
        <v>1</v>
      </c>
      <c r="C25" s="2" t="s">
        <v>4</v>
      </c>
      <c r="D25" s="2" t="s">
        <v>6</v>
      </c>
      <c r="E25" s="4">
        <v>1324929</v>
      </c>
      <c r="F25" t="s">
        <v>9</v>
      </c>
      <c r="G25" s="4">
        <v>-69599</v>
      </c>
    </row>
    <row r="26" spans="1:7" x14ac:dyDescent="0.3">
      <c r="A26" s="2">
        <v>2022</v>
      </c>
      <c r="B26" s="2">
        <v>2</v>
      </c>
      <c r="C26" s="2" t="s">
        <v>4</v>
      </c>
      <c r="D26" s="2" t="s">
        <v>6</v>
      </c>
      <c r="E26" s="3">
        <f>2673007-E25</f>
        <v>1348078</v>
      </c>
      <c r="F26" t="s">
        <v>9</v>
      </c>
      <c r="G26" s="3">
        <f>-(126750+G25)</f>
        <v>-57151</v>
      </c>
    </row>
    <row r="27" spans="1:7" x14ac:dyDescent="0.3">
      <c r="A27" s="2">
        <v>2022</v>
      </c>
      <c r="B27" s="2">
        <v>3</v>
      </c>
      <c r="C27" s="2" t="s">
        <v>4</v>
      </c>
      <c r="D27" s="2" t="s">
        <v>6</v>
      </c>
      <c r="E27" s="3">
        <f>4085140-E25-E26</f>
        <v>1412133</v>
      </c>
      <c r="F27" t="s">
        <v>9</v>
      </c>
      <c r="G27" s="3">
        <f>-(248654+G25+G26)</f>
        <v>-121904</v>
      </c>
    </row>
    <row r="28" spans="1:7" x14ac:dyDescent="0.3">
      <c r="A28" s="2">
        <v>2022</v>
      </c>
      <c r="B28" s="2">
        <v>4</v>
      </c>
      <c r="C28" s="2" t="s">
        <v>4</v>
      </c>
      <c r="D28" s="2" t="s">
        <v>6</v>
      </c>
      <c r="E28" s="3">
        <f>5565305-E25-E26-E27</f>
        <v>1480165</v>
      </c>
      <c r="F28" t="s">
        <v>9</v>
      </c>
      <c r="G28" s="3">
        <f>-(425329+G25+G26+G27)</f>
        <v>-176675</v>
      </c>
    </row>
    <row r="29" spans="1:7" x14ac:dyDescent="0.3">
      <c r="A29" s="2">
        <v>2023</v>
      </c>
      <c r="B29" s="2">
        <v>1</v>
      </c>
      <c r="C29" s="2" t="s">
        <v>4</v>
      </c>
      <c r="D29" s="2" t="s">
        <v>6</v>
      </c>
      <c r="E29" s="3">
        <v>1418564</v>
      </c>
      <c r="F29" t="s">
        <v>9</v>
      </c>
      <c r="G29" s="3">
        <v>-7722</v>
      </c>
    </row>
    <row r="30" spans="1:7" x14ac:dyDescent="0.3">
      <c r="A30" s="2">
        <v>2023</v>
      </c>
      <c r="B30" s="2">
        <v>2</v>
      </c>
      <c r="C30" s="2" t="s">
        <v>4</v>
      </c>
      <c r="D30" s="2" t="s">
        <v>6</v>
      </c>
      <c r="E30" s="3">
        <v>1394111</v>
      </c>
      <c r="F30" t="s">
        <v>9</v>
      </c>
      <c r="G30" s="3">
        <f>-(45816+G29)</f>
        <v>-38094</v>
      </c>
    </row>
    <row r="31" spans="1:7" x14ac:dyDescent="0.3">
      <c r="A31" s="2">
        <v>2023</v>
      </c>
      <c r="B31" s="2">
        <v>3</v>
      </c>
      <c r="C31" s="2" t="s">
        <v>4</v>
      </c>
      <c r="D31" s="2" t="s">
        <v>6</v>
      </c>
      <c r="E31" s="3">
        <v>1415081</v>
      </c>
      <c r="F31" t="s">
        <v>9</v>
      </c>
      <c r="G31" s="3">
        <f>-(263101+G29+G30)</f>
        <v>-217285</v>
      </c>
    </row>
    <row r="32" spans="1:7" x14ac:dyDescent="0.3">
      <c r="A32" s="2">
        <v>2023</v>
      </c>
      <c r="B32" s="2">
        <v>4</v>
      </c>
      <c r="C32" s="2" t="s">
        <v>4</v>
      </c>
      <c r="D32" s="2" t="s">
        <v>6</v>
      </c>
      <c r="E32" s="3">
        <f>5764413-E29-E30-E31</f>
        <v>1536657</v>
      </c>
      <c r="F32" t="s">
        <v>9</v>
      </c>
      <c r="G32" s="3">
        <f>-(565880+G29+G30+G31)</f>
        <v>-302779</v>
      </c>
    </row>
    <row r="33" spans="1:7" x14ac:dyDescent="0.3">
      <c r="A33" s="2">
        <v>2024</v>
      </c>
      <c r="B33" s="2">
        <v>1</v>
      </c>
      <c r="C33" s="2" t="s">
        <v>4</v>
      </c>
      <c r="D33" s="2" t="s">
        <v>6</v>
      </c>
      <c r="E33" s="3">
        <v>1387470</v>
      </c>
      <c r="F33" t="s">
        <v>9</v>
      </c>
      <c r="G33" s="3">
        <v>-121862</v>
      </c>
    </row>
    <row r="34" spans="1:7" x14ac:dyDescent="0.3">
      <c r="A34" s="2">
        <v>2024</v>
      </c>
      <c r="B34" s="2">
        <v>2</v>
      </c>
      <c r="C34" s="2" t="s">
        <v>4</v>
      </c>
      <c r="D34" s="2" t="s">
        <v>6</v>
      </c>
      <c r="E34" s="3">
        <f>2777746-E33</f>
        <v>1390276</v>
      </c>
      <c r="F34" t="s">
        <v>9</v>
      </c>
      <c r="G34" s="3">
        <f>-(195631+G33)</f>
        <v>-73769</v>
      </c>
    </row>
    <row r="35" spans="1:7" x14ac:dyDescent="0.3">
      <c r="A35" s="2">
        <v>2024</v>
      </c>
      <c r="B35" s="2">
        <v>3</v>
      </c>
      <c r="C35" s="2" t="s">
        <v>4</v>
      </c>
      <c r="D35" s="2" t="s">
        <v>6</v>
      </c>
      <c r="E35" s="3">
        <f>4295424-E33-E34</f>
        <v>1517678</v>
      </c>
      <c r="F35" t="s">
        <v>9</v>
      </c>
      <c r="G35" s="3">
        <f>-(484254+G33+G34)</f>
        <v>-288623</v>
      </c>
    </row>
    <row r="36" spans="1:7" x14ac:dyDescent="0.3">
      <c r="A36" s="2">
        <v>2024</v>
      </c>
      <c r="B36" s="2">
        <v>4</v>
      </c>
      <c r="C36" s="2" t="s">
        <v>4</v>
      </c>
      <c r="D36" s="2" t="s">
        <v>6</v>
      </c>
      <c r="E36" s="3">
        <f>6249120-E33-E34-E35</f>
        <v>1953696</v>
      </c>
      <c r="F36" t="s">
        <v>9</v>
      </c>
      <c r="G36" s="3">
        <f>-(804259+G33+G34+G35)</f>
        <v>-320005</v>
      </c>
    </row>
    <row r="37" spans="1:7" x14ac:dyDescent="0.3">
      <c r="A37" s="2">
        <v>2025</v>
      </c>
      <c r="B37" s="2">
        <v>1</v>
      </c>
      <c r="C37" s="2" t="s">
        <v>4</v>
      </c>
      <c r="D37" s="2" t="s">
        <v>6</v>
      </c>
      <c r="E37" s="3">
        <v>1616405</v>
      </c>
      <c r="F37" t="s">
        <v>9</v>
      </c>
      <c r="G37" s="3">
        <v>-160505</v>
      </c>
    </row>
    <row r="38" spans="1:7" x14ac:dyDescent="0.3">
      <c r="E38" s="6"/>
      <c r="G38" s="6"/>
    </row>
    <row r="39" spans="1:7" x14ac:dyDescent="0.3">
      <c r="G39" s="6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62C9-043B-47B7-9A86-55F2350128C6}">
  <dimension ref="A1:D107"/>
  <sheetViews>
    <sheetView tabSelected="1" workbookViewId="0">
      <selection activeCell="F8" sqref="F8"/>
    </sheetView>
  </sheetViews>
  <sheetFormatPr defaultRowHeight="14.4" x14ac:dyDescent="0.3"/>
  <cols>
    <col min="4" max="4" width="16.77734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8</v>
      </c>
    </row>
    <row r="2" spans="1:4" x14ac:dyDescent="0.3">
      <c r="A2" s="2">
        <v>2016</v>
      </c>
      <c r="B2" s="2">
        <v>4</v>
      </c>
      <c r="C2" s="2" t="s">
        <v>4</v>
      </c>
      <c r="D2" s="5">
        <v>413</v>
      </c>
    </row>
    <row r="3" spans="1:4" x14ac:dyDescent="0.3">
      <c r="A3" s="2">
        <v>2016</v>
      </c>
      <c r="B3" s="2">
        <f>B2+1</f>
        <v>5</v>
      </c>
      <c r="C3" s="2" t="s">
        <v>4</v>
      </c>
      <c r="D3" s="5">
        <v>650</v>
      </c>
    </row>
    <row r="4" spans="1:4" x14ac:dyDescent="0.3">
      <c r="A4" s="2">
        <v>2016</v>
      </c>
      <c r="B4" s="2">
        <f t="shared" ref="B4:B10" si="0">B3+1</f>
        <v>6</v>
      </c>
      <c r="C4" s="2" t="s">
        <v>4</v>
      </c>
      <c r="D4" s="5">
        <v>656</v>
      </c>
    </row>
    <row r="5" spans="1:4" x14ac:dyDescent="0.3">
      <c r="A5" s="2">
        <v>2016</v>
      </c>
      <c r="B5" s="2">
        <f t="shared" si="0"/>
        <v>7</v>
      </c>
      <c r="C5" s="2" t="s">
        <v>4</v>
      </c>
      <c r="D5" s="5">
        <v>402</v>
      </c>
    </row>
    <row r="6" spans="1:4" x14ac:dyDescent="0.3">
      <c r="A6" s="2">
        <v>2016</v>
      </c>
      <c r="B6" s="2">
        <f t="shared" si="0"/>
        <v>8</v>
      </c>
      <c r="C6" s="2" t="s">
        <v>4</v>
      </c>
      <c r="D6" s="5">
        <v>197</v>
      </c>
    </row>
    <row r="7" spans="1:4" x14ac:dyDescent="0.3">
      <c r="A7" s="2">
        <v>2016</v>
      </c>
      <c r="B7" s="2">
        <f t="shared" si="0"/>
        <v>9</v>
      </c>
      <c r="C7" s="2" t="s">
        <v>4</v>
      </c>
      <c r="D7" s="5">
        <v>52</v>
      </c>
    </row>
    <row r="8" spans="1:4" x14ac:dyDescent="0.3">
      <c r="A8" s="2">
        <v>2016</v>
      </c>
      <c r="B8" s="2">
        <f t="shared" si="0"/>
        <v>10</v>
      </c>
      <c r="C8" s="2" t="s">
        <v>4</v>
      </c>
      <c r="D8" s="5">
        <v>55</v>
      </c>
    </row>
    <row r="9" spans="1:4" x14ac:dyDescent="0.3">
      <c r="A9" s="2">
        <v>2016</v>
      </c>
      <c r="B9" s="2">
        <f t="shared" si="0"/>
        <v>11</v>
      </c>
      <c r="C9" s="2" t="s">
        <v>4</v>
      </c>
      <c r="D9" s="5">
        <v>383</v>
      </c>
    </row>
    <row r="10" spans="1:4" x14ac:dyDescent="0.3">
      <c r="A10" s="2">
        <v>2016</v>
      </c>
      <c r="B10" s="2">
        <f t="shared" si="0"/>
        <v>12</v>
      </c>
      <c r="C10" s="2" t="s">
        <v>4</v>
      </c>
      <c r="D10" s="5">
        <v>1533</v>
      </c>
    </row>
    <row r="11" spans="1:4" x14ac:dyDescent="0.3">
      <c r="A11" s="2">
        <v>2017</v>
      </c>
      <c r="B11" s="2">
        <v>1</v>
      </c>
      <c r="C11" s="2" t="s">
        <v>4</v>
      </c>
      <c r="D11" s="5">
        <v>2160</v>
      </c>
    </row>
    <row r="12" spans="1:4" x14ac:dyDescent="0.3">
      <c r="A12" s="2">
        <v>2017</v>
      </c>
      <c r="B12" s="2">
        <f>B11+1</f>
        <v>2</v>
      </c>
      <c r="C12" s="2" t="s">
        <v>4</v>
      </c>
      <c r="D12" s="5">
        <v>2227</v>
      </c>
    </row>
    <row r="13" spans="1:4" x14ac:dyDescent="0.3">
      <c r="A13" s="2">
        <v>2017</v>
      </c>
      <c r="B13" s="2">
        <f t="shared" ref="B13:B22" si="1">B12+1</f>
        <v>3</v>
      </c>
      <c r="C13" s="2" t="s">
        <v>4</v>
      </c>
      <c r="D13" s="5">
        <v>2116</v>
      </c>
    </row>
    <row r="14" spans="1:4" x14ac:dyDescent="0.3">
      <c r="A14" s="2">
        <v>2017</v>
      </c>
      <c r="B14" s="2">
        <f t="shared" si="1"/>
        <v>4</v>
      </c>
      <c r="C14" s="2" t="s">
        <v>4</v>
      </c>
      <c r="D14" s="5">
        <v>1935</v>
      </c>
    </row>
    <row r="15" spans="1:4" x14ac:dyDescent="0.3">
      <c r="A15" s="2">
        <v>2017</v>
      </c>
      <c r="B15" s="2">
        <f t="shared" si="1"/>
        <v>5</v>
      </c>
      <c r="C15" s="2" t="s">
        <v>4</v>
      </c>
      <c r="D15" s="5">
        <v>2597</v>
      </c>
    </row>
    <row r="16" spans="1:4" x14ac:dyDescent="0.3">
      <c r="A16" s="2">
        <v>2017</v>
      </c>
      <c r="B16" s="2">
        <f t="shared" si="1"/>
        <v>6</v>
      </c>
      <c r="C16" s="2" t="s">
        <v>4</v>
      </c>
      <c r="D16" s="5">
        <v>2366</v>
      </c>
    </row>
    <row r="17" spans="1:4" x14ac:dyDescent="0.3">
      <c r="A17" s="2">
        <v>2017</v>
      </c>
      <c r="B17" s="2">
        <f t="shared" si="1"/>
        <v>7</v>
      </c>
      <c r="C17" s="2" t="s">
        <v>4</v>
      </c>
      <c r="D17" s="5">
        <v>840</v>
      </c>
    </row>
    <row r="18" spans="1:4" x14ac:dyDescent="0.3">
      <c r="A18" s="2">
        <v>2017</v>
      </c>
      <c r="B18" s="2">
        <f t="shared" si="1"/>
        <v>8</v>
      </c>
      <c r="C18" s="2" t="s">
        <v>4</v>
      </c>
      <c r="D18" s="5">
        <v>341</v>
      </c>
    </row>
    <row r="19" spans="1:4" x14ac:dyDescent="0.3">
      <c r="A19" s="2">
        <v>2017</v>
      </c>
      <c r="B19" s="2">
        <f t="shared" si="1"/>
        <v>9</v>
      </c>
      <c r="C19" s="2" t="s">
        <v>4</v>
      </c>
      <c r="D19" s="5">
        <v>249</v>
      </c>
    </row>
    <row r="20" spans="1:4" x14ac:dyDescent="0.3">
      <c r="A20" s="2">
        <v>2017</v>
      </c>
      <c r="B20" s="2">
        <f t="shared" si="1"/>
        <v>10</v>
      </c>
      <c r="C20" s="2" t="s">
        <v>4</v>
      </c>
      <c r="D20" s="5">
        <v>68</v>
      </c>
    </row>
    <row r="21" spans="1:4" x14ac:dyDescent="0.3">
      <c r="A21" s="2">
        <v>2017</v>
      </c>
      <c r="B21" s="2">
        <f t="shared" si="1"/>
        <v>11</v>
      </c>
      <c r="C21" s="2" t="s">
        <v>4</v>
      </c>
      <c r="D21" s="5">
        <v>266</v>
      </c>
    </row>
    <row r="22" spans="1:4" x14ac:dyDescent="0.3">
      <c r="A22" s="2">
        <v>2017</v>
      </c>
      <c r="B22" s="2">
        <f t="shared" si="1"/>
        <v>12</v>
      </c>
      <c r="C22" s="2" t="s">
        <v>4</v>
      </c>
      <c r="D22" s="5">
        <v>1412</v>
      </c>
    </row>
    <row r="23" spans="1:4" x14ac:dyDescent="0.3">
      <c r="A23" s="2">
        <v>2018</v>
      </c>
      <c r="B23" s="2">
        <v>1</v>
      </c>
      <c r="C23" s="2" t="s">
        <v>4</v>
      </c>
      <c r="D23" s="5">
        <v>2601</v>
      </c>
    </row>
    <row r="24" spans="1:4" x14ac:dyDescent="0.3">
      <c r="A24" s="2">
        <v>2018</v>
      </c>
      <c r="B24" s="2">
        <f>B23+1</f>
        <v>2</v>
      </c>
      <c r="C24" s="2" t="s">
        <v>4</v>
      </c>
      <c r="D24" s="5">
        <v>3663</v>
      </c>
    </row>
    <row r="25" spans="1:4" x14ac:dyDescent="0.3">
      <c r="A25" s="2">
        <v>2018</v>
      </c>
      <c r="B25" s="2">
        <f t="shared" ref="B25:B34" si="2">B24+1</f>
        <v>3</v>
      </c>
      <c r="C25" s="2" t="s">
        <v>4</v>
      </c>
      <c r="D25" s="5">
        <v>3308</v>
      </c>
    </row>
    <row r="26" spans="1:4" x14ac:dyDescent="0.3">
      <c r="A26" s="2">
        <v>2018</v>
      </c>
      <c r="B26" s="2">
        <f t="shared" si="2"/>
        <v>4</v>
      </c>
      <c r="C26" s="2" t="s">
        <v>4</v>
      </c>
      <c r="D26" s="5">
        <v>3677</v>
      </c>
    </row>
    <row r="27" spans="1:4" x14ac:dyDescent="0.3">
      <c r="A27" s="2">
        <v>2018</v>
      </c>
      <c r="B27" s="2">
        <f t="shared" si="2"/>
        <v>5</v>
      </c>
      <c r="C27" s="2" t="s">
        <v>4</v>
      </c>
      <c r="D27" s="5">
        <v>3557</v>
      </c>
    </row>
    <row r="28" spans="1:4" x14ac:dyDescent="0.3">
      <c r="A28" s="2">
        <v>2018</v>
      </c>
      <c r="B28" s="2">
        <f t="shared" si="2"/>
        <v>6</v>
      </c>
      <c r="C28" s="2" t="s">
        <v>4</v>
      </c>
      <c r="D28" s="5">
        <v>3091</v>
      </c>
    </row>
    <row r="29" spans="1:4" x14ac:dyDescent="0.3">
      <c r="A29" s="2">
        <v>2018</v>
      </c>
      <c r="B29" s="2">
        <f t="shared" si="2"/>
        <v>7</v>
      </c>
      <c r="C29" s="2" t="s">
        <v>4</v>
      </c>
      <c r="D29" s="5">
        <v>1130</v>
      </c>
    </row>
    <row r="30" spans="1:4" x14ac:dyDescent="0.3">
      <c r="A30" s="2">
        <v>2018</v>
      </c>
      <c r="B30" s="2">
        <f t="shared" si="2"/>
        <v>8</v>
      </c>
      <c r="C30" s="2" t="s">
        <v>4</v>
      </c>
      <c r="D30" s="5">
        <v>453</v>
      </c>
    </row>
    <row r="31" spans="1:4" x14ac:dyDescent="0.3">
      <c r="A31" s="2">
        <v>2018</v>
      </c>
      <c r="B31" s="2">
        <f t="shared" si="2"/>
        <v>9</v>
      </c>
      <c r="C31" s="2" t="s">
        <v>4</v>
      </c>
      <c r="D31" s="5">
        <v>255</v>
      </c>
    </row>
    <row r="32" spans="1:4" x14ac:dyDescent="0.3">
      <c r="A32" s="2">
        <v>2018</v>
      </c>
      <c r="B32" s="2">
        <f t="shared" si="2"/>
        <v>10</v>
      </c>
      <c r="C32" s="2" t="s">
        <v>4</v>
      </c>
      <c r="D32" s="5">
        <v>364</v>
      </c>
    </row>
    <row r="33" spans="1:4" x14ac:dyDescent="0.3">
      <c r="A33" s="2">
        <v>2018</v>
      </c>
      <c r="B33" s="2">
        <f t="shared" si="2"/>
        <v>11</v>
      </c>
      <c r="C33" s="2" t="s">
        <v>4</v>
      </c>
      <c r="D33" s="5">
        <v>813</v>
      </c>
    </row>
    <row r="34" spans="1:4" x14ac:dyDescent="0.3">
      <c r="A34" s="2">
        <v>2018</v>
      </c>
      <c r="B34" s="2">
        <f t="shared" si="2"/>
        <v>12</v>
      </c>
      <c r="C34" s="2" t="s">
        <v>4</v>
      </c>
      <c r="D34" s="5">
        <v>4028</v>
      </c>
    </row>
    <row r="35" spans="1:4" x14ac:dyDescent="0.3">
      <c r="A35" s="2">
        <v>2019</v>
      </c>
      <c r="B35" s="2">
        <v>1</v>
      </c>
      <c r="C35" s="2" t="s">
        <v>4</v>
      </c>
      <c r="D35" s="5">
        <v>4728</v>
      </c>
    </row>
    <row r="36" spans="1:4" x14ac:dyDescent="0.3">
      <c r="A36" s="2">
        <v>2019</v>
      </c>
      <c r="B36" s="2">
        <f>B35+1</f>
        <v>2</v>
      </c>
      <c r="C36" s="2" t="s">
        <v>4</v>
      </c>
      <c r="D36" s="5">
        <v>6882</v>
      </c>
    </row>
    <row r="37" spans="1:4" x14ac:dyDescent="0.3">
      <c r="A37" s="2">
        <v>2019</v>
      </c>
      <c r="B37" s="2">
        <f>B36+1</f>
        <v>3</v>
      </c>
      <c r="C37" s="2" t="s">
        <v>4</v>
      </c>
      <c r="D37" s="5">
        <v>5865</v>
      </c>
    </row>
    <row r="38" spans="1:4" x14ac:dyDescent="0.3">
      <c r="A38" s="2">
        <v>2019</v>
      </c>
      <c r="B38" s="2">
        <f t="shared" ref="B38:B46" si="3">B37+1</f>
        <v>4</v>
      </c>
      <c r="C38" s="2" t="s">
        <v>4</v>
      </c>
      <c r="D38" s="5">
        <v>5174</v>
      </c>
    </row>
    <row r="39" spans="1:4" x14ac:dyDescent="0.3">
      <c r="A39" s="2">
        <v>2019</v>
      </c>
      <c r="B39" s="2">
        <f t="shared" si="3"/>
        <v>5</v>
      </c>
      <c r="C39" s="2" t="s">
        <v>4</v>
      </c>
      <c r="D39" s="5">
        <v>5277</v>
      </c>
    </row>
    <row r="40" spans="1:4" x14ac:dyDescent="0.3">
      <c r="A40" s="2">
        <v>2019</v>
      </c>
      <c r="B40" s="2">
        <f t="shared" si="3"/>
        <v>6</v>
      </c>
      <c r="C40" s="2" t="s">
        <v>4</v>
      </c>
      <c r="D40" s="5">
        <v>3673</v>
      </c>
    </row>
    <row r="41" spans="1:4" x14ac:dyDescent="0.3">
      <c r="A41" s="2">
        <v>2019</v>
      </c>
      <c r="B41" s="2">
        <f t="shared" si="3"/>
        <v>7</v>
      </c>
      <c r="C41" s="2" t="s">
        <v>4</v>
      </c>
      <c r="D41" s="5">
        <v>1519</v>
      </c>
    </row>
    <row r="42" spans="1:4" x14ac:dyDescent="0.3">
      <c r="A42" s="2">
        <v>2019</v>
      </c>
      <c r="B42" s="2">
        <f t="shared" si="3"/>
        <v>8</v>
      </c>
      <c r="C42" s="2" t="s">
        <v>4</v>
      </c>
      <c r="D42" s="5">
        <v>568</v>
      </c>
    </row>
    <row r="43" spans="1:4" x14ac:dyDescent="0.3">
      <c r="A43" s="2">
        <v>2019</v>
      </c>
      <c r="B43" s="2">
        <f t="shared" si="3"/>
        <v>9</v>
      </c>
      <c r="C43" s="2" t="s">
        <v>4</v>
      </c>
      <c r="D43" s="5">
        <v>361</v>
      </c>
    </row>
    <row r="44" spans="1:4" x14ac:dyDescent="0.3">
      <c r="A44" s="2">
        <v>2019</v>
      </c>
      <c r="B44" s="2">
        <f t="shared" si="3"/>
        <v>10</v>
      </c>
      <c r="C44" s="2" t="s">
        <v>4</v>
      </c>
      <c r="D44" s="5">
        <v>276</v>
      </c>
    </row>
    <row r="45" spans="1:4" x14ac:dyDescent="0.3">
      <c r="A45" s="2">
        <v>2019</v>
      </c>
      <c r="B45" s="2">
        <f t="shared" si="3"/>
        <v>11</v>
      </c>
      <c r="C45" s="2" t="s">
        <v>4</v>
      </c>
      <c r="D45" s="5">
        <v>594</v>
      </c>
    </row>
    <row r="46" spans="1:4" x14ac:dyDescent="0.3">
      <c r="A46" s="2">
        <v>2019</v>
      </c>
      <c r="B46" s="2">
        <f t="shared" si="3"/>
        <v>12</v>
      </c>
      <c r="C46" s="2" t="s">
        <v>4</v>
      </c>
      <c r="D46" s="5">
        <v>1703</v>
      </c>
    </row>
    <row r="47" spans="1:4" x14ac:dyDescent="0.3">
      <c r="A47" s="2">
        <v>2020</v>
      </c>
      <c r="B47" s="2">
        <v>1</v>
      </c>
      <c r="C47" s="2" t="s">
        <v>4</v>
      </c>
      <c r="D47" s="5">
        <v>4422</v>
      </c>
    </row>
    <row r="48" spans="1:4" x14ac:dyDescent="0.3">
      <c r="A48" s="2">
        <v>2020</v>
      </c>
      <c r="B48" s="2">
        <f>B47+1</f>
        <v>2</v>
      </c>
      <c r="C48" s="2" t="s">
        <v>4</v>
      </c>
      <c r="D48" s="5">
        <v>6654</v>
      </c>
    </row>
    <row r="49" spans="1:4" x14ac:dyDescent="0.3">
      <c r="A49" s="2">
        <v>2020</v>
      </c>
      <c r="B49" s="2">
        <f t="shared" ref="B49:B58" si="4">B48+1</f>
        <v>3</v>
      </c>
      <c r="C49" s="2" t="s">
        <v>4</v>
      </c>
      <c r="D49" s="5">
        <v>8956</v>
      </c>
    </row>
    <row r="50" spans="1:4" x14ac:dyDescent="0.3">
      <c r="A50" s="2">
        <v>2020</v>
      </c>
      <c r="B50" s="2">
        <f t="shared" si="4"/>
        <v>4</v>
      </c>
      <c r="C50" s="2" t="s">
        <v>4</v>
      </c>
      <c r="D50" s="5">
        <v>5591</v>
      </c>
    </row>
    <row r="51" spans="1:4" x14ac:dyDescent="0.3">
      <c r="A51" s="2">
        <v>2020</v>
      </c>
      <c r="B51" s="2">
        <f t="shared" si="4"/>
        <v>5</v>
      </c>
      <c r="C51" s="2" t="s">
        <v>4</v>
      </c>
      <c r="D51" s="5">
        <v>5342</v>
      </c>
    </row>
    <row r="52" spans="1:4" x14ac:dyDescent="0.3">
      <c r="A52" s="2">
        <v>2020</v>
      </c>
      <c r="B52" s="2">
        <f t="shared" si="4"/>
        <v>6</v>
      </c>
      <c r="C52" s="2" t="s">
        <v>4</v>
      </c>
      <c r="D52" s="5">
        <v>4746</v>
      </c>
    </row>
    <row r="53" spans="1:4" x14ac:dyDescent="0.3">
      <c r="A53" s="2">
        <v>2020</v>
      </c>
      <c r="B53" s="2">
        <f t="shared" si="4"/>
        <v>7</v>
      </c>
      <c r="C53" s="2" t="s">
        <v>4</v>
      </c>
      <c r="D53" s="5">
        <v>1684</v>
      </c>
    </row>
    <row r="54" spans="1:4" x14ac:dyDescent="0.3">
      <c r="A54" s="2">
        <v>2020</v>
      </c>
      <c r="B54" s="2">
        <f t="shared" si="4"/>
        <v>8</v>
      </c>
      <c r="C54" s="2" t="s">
        <v>4</v>
      </c>
      <c r="D54" s="5">
        <v>483</v>
      </c>
    </row>
    <row r="55" spans="1:4" x14ac:dyDescent="0.3">
      <c r="A55" s="2">
        <v>2020</v>
      </c>
      <c r="B55" s="2">
        <f t="shared" si="4"/>
        <v>9</v>
      </c>
      <c r="C55" s="2" t="s">
        <v>4</v>
      </c>
      <c r="D55" s="5">
        <v>357</v>
      </c>
    </row>
    <row r="56" spans="1:4" x14ac:dyDescent="0.3">
      <c r="A56" s="2">
        <v>2020</v>
      </c>
      <c r="B56" s="2">
        <f t="shared" si="4"/>
        <v>10</v>
      </c>
      <c r="C56" s="2" t="s">
        <v>4</v>
      </c>
      <c r="D56" s="5">
        <v>331</v>
      </c>
    </row>
    <row r="57" spans="1:4" x14ac:dyDescent="0.3">
      <c r="A57" s="2">
        <v>2020</v>
      </c>
      <c r="B57" s="2">
        <f t="shared" si="4"/>
        <v>11</v>
      </c>
      <c r="C57" s="2" t="s">
        <v>4</v>
      </c>
      <c r="D57" s="5">
        <v>339</v>
      </c>
    </row>
    <row r="58" spans="1:4" x14ac:dyDescent="0.3">
      <c r="A58" s="2">
        <v>2020</v>
      </c>
      <c r="B58" s="2">
        <f t="shared" si="4"/>
        <v>12</v>
      </c>
      <c r="C58" s="2" t="s">
        <v>4</v>
      </c>
      <c r="D58" s="5">
        <v>758</v>
      </c>
    </row>
    <row r="59" spans="1:4" x14ac:dyDescent="0.3">
      <c r="A59" s="2">
        <v>2021</v>
      </c>
      <c r="B59" s="2">
        <v>1</v>
      </c>
      <c r="C59" s="2" t="s">
        <v>4</v>
      </c>
      <c r="D59" s="5">
        <v>1942</v>
      </c>
    </row>
    <row r="60" spans="1:4" x14ac:dyDescent="0.3">
      <c r="A60" s="2">
        <v>2021</v>
      </c>
      <c r="B60" s="2">
        <f>B59+1</f>
        <v>2</v>
      </c>
      <c r="C60" s="2" t="s">
        <v>4</v>
      </c>
      <c r="D60" s="5">
        <v>4444</v>
      </c>
    </row>
    <row r="61" spans="1:4" x14ac:dyDescent="0.3">
      <c r="A61" s="2">
        <v>2021</v>
      </c>
      <c r="B61" s="2">
        <f t="shared" ref="B61:B70" si="5">B60+1</f>
        <v>3</v>
      </c>
      <c r="C61" s="2" t="s">
        <v>4</v>
      </c>
      <c r="D61" s="5">
        <v>9395</v>
      </c>
    </row>
    <row r="62" spans="1:4" x14ac:dyDescent="0.3">
      <c r="A62" s="2">
        <v>2021</v>
      </c>
      <c r="B62" s="2">
        <f t="shared" si="5"/>
        <v>4</v>
      </c>
      <c r="C62" s="2" t="s">
        <v>4</v>
      </c>
      <c r="D62" s="5">
        <v>8527</v>
      </c>
    </row>
    <row r="63" spans="1:4" x14ac:dyDescent="0.3">
      <c r="A63" s="2">
        <v>2021</v>
      </c>
      <c r="B63" s="2">
        <f t="shared" si="5"/>
        <v>5</v>
      </c>
      <c r="C63" s="2" t="s">
        <v>4</v>
      </c>
      <c r="D63" s="5">
        <v>7172</v>
      </c>
    </row>
    <row r="64" spans="1:4" x14ac:dyDescent="0.3">
      <c r="A64" s="2">
        <v>2021</v>
      </c>
      <c r="B64" s="2">
        <f t="shared" si="5"/>
        <v>6</v>
      </c>
      <c r="C64" s="2" t="s">
        <v>4</v>
      </c>
      <c r="D64" s="5">
        <v>2602</v>
      </c>
    </row>
    <row r="65" spans="1:4" x14ac:dyDescent="0.3">
      <c r="A65" s="2">
        <v>2021</v>
      </c>
      <c r="B65" s="2">
        <f t="shared" si="5"/>
        <v>7</v>
      </c>
      <c r="C65" s="2" t="s">
        <v>4</v>
      </c>
      <c r="D65" s="5">
        <v>968</v>
      </c>
    </row>
    <row r="66" spans="1:4" x14ac:dyDescent="0.3">
      <c r="A66" s="2">
        <v>2021</v>
      </c>
      <c r="B66" s="2">
        <f t="shared" si="5"/>
        <v>8</v>
      </c>
      <c r="C66" s="2" t="s">
        <v>4</v>
      </c>
      <c r="D66" s="5">
        <v>420</v>
      </c>
    </row>
    <row r="67" spans="1:4" x14ac:dyDescent="0.3">
      <c r="A67" s="2">
        <v>2021</v>
      </c>
      <c r="B67" s="2">
        <f t="shared" si="5"/>
        <v>9</v>
      </c>
      <c r="C67" s="2" t="s">
        <v>4</v>
      </c>
      <c r="D67" s="5">
        <v>341</v>
      </c>
    </row>
    <row r="68" spans="1:4" x14ac:dyDescent="0.3">
      <c r="A68" s="2">
        <v>2021</v>
      </c>
      <c r="B68" s="2">
        <f t="shared" si="5"/>
        <v>10</v>
      </c>
      <c r="C68" s="2" t="s">
        <v>4</v>
      </c>
      <c r="D68" s="5">
        <v>335</v>
      </c>
    </row>
    <row r="69" spans="1:4" x14ac:dyDescent="0.3">
      <c r="A69" s="2">
        <v>2021</v>
      </c>
      <c r="B69" s="2">
        <f t="shared" si="5"/>
        <v>11</v>
      </c>
      <c r="C69" s="2" t="s">
        <v>4</v>
      </c>
      <c r="D69" s="5">
        <v>1569</v>
      </c>
    </row>
    <row r="70" spans="1:4" x14ac:dyDescent="0.3">
      <c r="A70" s="2">
        <v>2021</v>
      </c>
      <c r="B70" s="2">
        <f t="shared" si="5"/>
        <v>12</v>
      </c>
      <c r="C70" s="2" t="s">
        <v>4</v>
      </c>
      <c r="D70" s="5">
        <v>5874</v>
      </c>
    </row>
    <row r="71" spans="1:4" x14ac:dyDescent="0.3">
      <c r="A71" s="2">
        <v>2022</v>
      </c>
      <c r="B71" s="2">
        <v>1</v>
      </c>
      <c r="C71" s="2" t="s">
        <v>4</v>
      </c>
      <c r="D71" s="5">
        <v>9123</v>
      </c>
    </row>
    <row r="72" spans="1:4" x14ac:dyDescent="0.3">
      <c r="A72" s="2">
        <v>2022</v>
      </c>
      <c r="B72" s="2">
        <f>B71+1</f>
        <v>2</v>
      </c>
      <c r="C72" s="2" t="s">
        <v>4</v>
      </c>
      <c r="D72" s="5">
        <v>8594</v>
      </c>
    </row>
    <row r="73" spans="1:4" x14ac:dyDescent="0.3">
      <c r="A73" s="2">
        <v>2022</v>
      </c>
      <c r="B73" s="2">
        <f t="shared" ref="B73:B82" si="6">B72+1</f>
        <v>3</v>
      </c>
      <c r="C73" s="2" t="s">
        <v>4</v>
      </c>
      <c r="D73" s="5">
        <v>8499</v>
      </c>
    </row>
    <row r="74" spans="1:4" x14ac:dyDescent="0.3">
      <c r="A74" s="2">
        <v>2022</v>
      </c>
      <c r="B74" s="2">
        <f t="shared" si="6"/>
        <v>4</v>
      </c>
      <c r="C74" s="2" t="s">
        <v>4</v>
      </c>
      <c r="D74" s="5">
        <v>8681</v>
      </c>
    </row>
    <row r="75" spans="1:4" x14ac:dyDescent="0.3">
      <c r="A75" s="2">
        <v>2022</v>
      </c>
      <c r="B75" s="2">
        <f t="shared" si="6"/>
        <v>5</v>
      </c>
      <c r="C75" s="2" t="s">
        <v>4</v>
      </c>
      <c r="D75" s="5">
        <v>6907</v>
      </c>
    </row>
    <row r="76" spans="1:4" x14ac:dyDescent="0.3">
      <c r="A76" s="2">
        <v>2022</v>
      </c>
      <c r="B76" s="2">
        <f t="shared" si="6"/>
        <v>6</v>
      </c>
      <c r="C76" s="2" t="s">
        <v>4</v>
      </c>
      <c r="D76" s="5">
        <v>3066</v>
      </c>
    </row>
    <row r="77" spans="1:4" x14ac:dyDescent="0.3">
      <c r="A77" s="2">
        <v>2022</v>
      </c>
      <c r="B77" s="2">
        <f t="shared" si="6"/>
        <v>7</v>
      </c>
      <c r="C77" s="2" t="s">
        <v>4</v>
      </c>
      <c r="D77" s="5">
        <v>1233</v>
      </c>
    </row>
    <row r="78" spans="1:4" x14ac:dyDescent="0.3">
      <c r="A78" s="2">
        <v>2022</v>
      </c>
      <c r="B78" s="2">
        <f t="shared" si="6"/>
        <v>8</v>
      </c>
      <c r="C78" s="2" t="s">
        <v>4</v>
      </c>
      <c r="D78" s="5">
        <v>568</v>
      </c>
    </row>
    <row r="79" spans="1:4" x14ac:dyDescent="0.3">
      <c r="A79" s="2">
        <v>2022</v>
      </c>
      <c r="B79" s="2">
        <f t="shared" si="6"/>
        <v>9</v>
      </c>
      <c r="C79" s="2" t="s">
        <v>4</v>
      </c>
      <c r="D79" s="5">
        <v>354</v>
      </c>
    </row>
    <row r="80" spans="1:4" x14ac:dyDescent="0.3">
      <c r="A80" s="2">
        <v>2022</v>
      </c>
      <c r="B80" s="2">
        <f t="shared" si="6"/>
        <v>10</v>
      </c>
      <c r="C80" s="2" t="s">
        <v>4</v>
      </c>
      <c r="D80" s="5">
        <v>331</v>
      </c>
    </row>
    <row r="81" spans="1:4" x14ac:dyDescent="0.3">
      <c r="A81" s="2">
        <v>2022</v>
      </c>
      <c r="B81" s="2">
        <f t="shared" si="6"/>
        <v>11</v>
      </c>
      <c r="C81" s="2" t="s">
        <v>4</v>
      </c>
      <c r="D81" s="5">
        <v>728</v>
      </c>
    </row>
    <row r="82" spans="1:4" x14ac:dyDescent="0.3">
      <c r="A82" s="2">
        <v>2022</v>
      </c>
      <c r="B82" s="2">
        <f t="shared" si="6"/>
        <v>12</v>
      </c>
      <c r="C82" s="2" t="s">
        <v>4</v>
      </c>
      <c r="D82" s="5">
        <v>3151</v>
      </c>
    </row>
    <row r="83" spans="1:4" x14ac:dyDescent="0.3">
      <c r="A83" s="2">
        <v>2023</v>
      </c>
      <c r="B83" s="2">
        <v>1</v>
      </c>
      <c r="C83" s="2" t="s">
        <v>4</v>
      </c>
      <c r="D83" s="5">
        <v>6899</v>
      </c>
    </row>
    <row r="84" spans="1:4" x14ac:dyDescent="0.3">
      <c r="A84" s="2">
        <v>2023</v>
      </c>
      <c r="B84" s="2">
        <f>B83+1</f>
        <v>2</v>
      </c>
      <c r="C84" s="2" t="s">
        <v>4</v>
      </c>
      <c r="D84" s="5">
        <v>7157</v>
      </c>
    </row>
    <row r="85" spans="1:4" x14ac:dyDescent="0.3">
      <c r="A85" s="2">
        <v>2023</v>
      </c>
      <c r="B85" s="2">
        <f t="shared" ref="B85:B94" si="7">B84+1</f>
        <v>3</v>
      </c>
      <c r="C85" s="2" t="s">
        <v>4</v>
      </c>
      <c r="D85" s="5">
        <v>7953</v>
      </c>
    </row>
    <row r="86" spans="1:4" x14ac:dyDescent="0.3">
      <c r="A86" s="2">
        <v>2023</v>
      </c>
      <c r="B86" s="2">
        <f t="shared" si="7"/>
        <v>4</v>
      </c>
      <c r="C86" s="2" t="s">
        <v>4</v>
      </c>
      <c r="D86" s="5">
        <v>8131</v>
      </c>
    </row>
    <row r="87" spans="1:4" x14ac:dyDescent="0.3">
      <c r="A87" s="2">
        <v>2023</v>
      </c>
      <c r="B87" s="2">
        <f t="shared" si="7"/>
        <v>5</v>
      </c>
      <c r="C87" s="2" t="s">
        <v>4</v>
      </c>
      <c r="D87" s="5">
        <v>6585</v>
      </c>
    </row>
    <row r="88" spans="1:4" x14ac:dyDescent="0.3">
      <c r="A88" s="2">
        <v>2023</v>
      </c>
      <c r="B88" s="2">
        <f t="shared" si="7"/>
        <v>6</v>
      </c>
      <c r="C88" s="2" t="s">
        <v>4</v>
      </c>
      <c r="D88" s="5">
        <v>3522</v>
      </c>
    </row>
    <row r="89" spans="1:4" x14ac:dyDescent="0.3">
      <c r="A89" s="2">
        <v>2023</v>
      </c>
      <c r="B89" s="2">
        <f t="shared" si="7"/>
        <v>7</v>
      </c>
      <c r="C89" s="2" t="s">
        <v>4</v>
      </c>
      <c r="D89" s="5">
        <v>1351</v>
      </c>
    </row>
    <row r="90" spans="1:4" x14ac:dyDescent="0.3">
      <c r="A90" s="2">
        <v>2023</v>
      </c>
      <c r="B90" s="2">
        <f t="shared" si="7"/>
        <v>8</v>
      </c>
      <c r="C90" s="2" t="s">
        <v>4</v>
      </c>
      <c r="D90" s="5">
        <v>487</v>
      </c>
    </row>
    <row r="91" spans="1:4" x14ac:dyDescent="0.3">
      <c r="A91" s="2">
        <v>2023</v>
      </c>
      <c r="B91" s="2">
        <f t="shared" si="7"/>
        <v>9</v>
      </c>
      <c r="C91" s="2" t="s">
        <v>4</v>
      </c>
      <c r="D91" s="5">
        <v>350</v>
      </c>
    </row>
    <row r="92" spans="1:4" x14ac:dyDescent="0.3">
      <c r="A92" s="2">
        <v>2023</v>
      </c>
      <c r="B92" s="2">
        <f t="shared" si="7"/>
        <v>10</v>
      </c>
      <c r="C92" s="2" t="s">
        <v>4</v>
      </c>
      <c r="D92" s="5">
        <v>338</v>
      </c>
    </row>
    <row r="93" spans="1:4" x14ac:dyDescent="0.3">
      <c r="A93" s="2">
        <v>2023</v>
      </c>
      <c r="B93" s="2">
        <f t="shared" si="7"/>
        <v>11</v>
      </c>
      <c r="C93" s="2" t="s">
        <v>4</v>
      </c>
      <c r="D93" s="5">
        <v>339</v>
      </c>
    </row>
    <row r="94" spans="1:4" x14ac:dyDescent="0.3">
      <c r="A94" s="2">
        <v>2023</v>
      </c>
      <c r="B94" s="2">
        <f t="shared" si="7"/>
        <v>12</v>
      </c>
      <c r="C94" s="2" t="s">
        <v>4</v>
      </c>
      <c r="D94" s="5">
        <v>316</v>
      </c>
    </row>
    <row r="95" spans="1:4" x14ac:dyDescent="0.3">
      <c r="A95" s="2">
        <v>2024</v>
      </c>
      <c r="B95" s="2">
        <v>1</v>
      </c>
      <c r="C95" s="2" t="s">
        <v>4</v>
      </c>
      <c r="D95" s="5">
        <v>1754</v>
      </c>
    </row>
    <row r="96" spans="1:4" x14ac:dyDescent="0.3">
      <c r="A96" s="2">
        <v>2024</v>
      </c>
      <c r="B96" s="2">
        <f>B95+1</f>
        <v>2</v>
      </c>
      <c r="C96" s="2" t="s">
        <v>4</v>
      </c>
      <c r="D96" s="5">
        <v>6090</v>
      </c>
    </row>
    <row r="97" spans="1:4" x14ac:dyDescent="0.3">
      <c r="A97" s="2">
        <v>2024</v>
      </c>
      <c r="B97" s="2">
        <f t="shared" ref="B97:B106" si="8">B96+1</f>
        <v>3</v>
      </c>
      <c r="C97" s="2" t="s">
        <v>4</v>
      </c>
      <c r="D97" s="5">
        <v>6164</v>
      </c>
    </row>
    <row r="98" spans="1:4" x14ac:dyDescent="0.3">
      <c r="A98" s="2">
        <v>2024</v>
      </c>
      <c r="B98" s="2">
        <f t="shared" si="8"/>
        <v>4</v>
      </c>
      <c r="C98" s="2" t="s">
        <v>4</v>
      </c>
      <c r="D98" s="5">
        <v>6192</v>
      </c>
    </row>
    <row r="99" spans="1:4" x14ac:dyDescent="0.3">
      <c r="A99" s="2">
        <v>2024</v>
      </c>
      <c r="B99" s="2">
        <f t="shared" si="8"/>
        <v>5</v>
      </c>
      <c r="C99" s="2" t="s">
        <v>4</v>
      </c>
      <c r="D99" s="5">
        <v>6230</v>
      </c>
    </row>
    <row r="100" spans="1:4" x14ac:dyDescent="0.3">
      <c r="A100" s="2">
        <v>2024</v>
      </c>
      <c r="B100" s="2">
        <f t="shared" si="8"/>
        <v>6</v>
      </c>
      <c r="C100" s="2" t="s">
        <v>4</v>
      </c>
      <c r="D100" s="5">
        <v>1655</v>
      </c>
    </row>
    <row r="101" spans="1:4" x14ac:dyDescent="0.3">
      <c r="A101" s="2">
        <v>2024</v>
      </c>
      <c r="B101" s="2">
        <f t="shared" si="8"/>
        <v>7</v>
      </c>
      <c r="C101" s="2" t="s">
        <v>4</v>
      </c>
      <c r="D101" s="5">
        <v>455</v>
      </c>
    </row>
    <row r="102" spans="1:4" x14ac:dyDescent="0.3">
      <c r="A102" s="2">
        <v>2024</v>
      </c>
      <c r="B102" s="2">
        <f t="shared" si="8"/>
        <v>8</v>
      </c>
      <c r="C102" s="2" t="s">
        <v>4</v>
      </c>
      <c r="D102" s="5">
        <v>333</v>
      </c>
    </row>
    <row r="103" spans="1:4" x14ac:dyDescent="0.3">
      <c r="A103" s="2">
        <v>2024</v>
      </c>
      <c r="B103" s="2">
        <f t="shared" si="8"/>
        <v>9</v>
      </c>
      <c r="C103" s="2" t="s">
        <v>4</v>
      </c>
      <c r="D103" s="5">
        <v>260</v>
      </c>
    </row>
    <row r="104" spans="1:4" x14ac:dyDescent="0.3">
      <c r="A104" s="2">
        <v>2024</v>
      </c>
      <c r="B104" s="2">
        <f t="shared" si="8"/>
        <v>10</v>
      </c>
      <c r="C104" s="2" t="s">
        <v>4</v>
      </c>
      <c r="D104" s="5">
        <v>140</v>
      </c>
    </row>
    <row r="105" spans="1:4" x14ac:dyDescent="0.3">
      <c r="A105" s="2">
        <v>2024</v>
      </c>
      <c r="B105" s="2">
        <f t="shared" si="8"/>
        <v>11</v>
      </c>
      <c r="C105" s="2" t="s">
        <v>4</v>
      </c>
      <c r="D105" s="5">
        <v>155</v>
      </c>
    </row>
    <row r="106" spans="1:4" x14ac:dyDescent="0.3">
      <c r="A106" s="2">
        <v>2024</v>
      </c>
      <c r="B106" s="2">
        <f t="shared" si="8"/>
        <v>12</v>
      </c>
      <c r="C106" s="2" t="s">
        <v>4</v>
      </c>
      <c r="D106" s="5">
        <v>1703</v>
      </c>
    </row>
    <row r="107" spans="1:4" x14ac:dyDescent="0.3">
      <c r="A107" s="2">
        <v>2025</v>
      </c>
      <c r="B107" s="2">
        <v>1</v>
      </c>
      <c r="C107" s="2" t="s">
        <v>4</v>
      </c>
      <c r="D107" s="5">
        <v>6082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Receita_TRI</vt:lpstr>
      <vt:lpstr>Energia_MES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CAMARA</dc:creator>
  <cp:lastModifiedBy>CLAUDIO CAMARA</cp:lastModifiedBy>
  <dcterms:created xsi:type="dcterms:W3CDTF">2025-09-04T13:18:02Z</dcterms:created>
  <dcterms:modified xsi:type="dcterms:W3CDTF">2025-10-24T23:30:50Z</dcterms:modified>
</cp:coreProperties>
</file>